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Jagajeeth\Downloads\"/>
    </mc:Choice>
  </mc:AlternateContent>
  <xr:revisionPtr revIDLastSave="0" documentId="8_{E7A0191B-94BB-4FE4-A5E0-E0518D6AA20A}" xr6:coauthVersionLast="47" xr6:coauthVersionMax="47" xr10:uidLastSave="{00000000-0000-0000-0000-000000000000}"/>
  <bookViews>
    <workbookView xWindow="-108" yWindow="-108" windowWidth="23256" windowHeight="12456" activeTab="2" xr2:uid="{3DCBD9E5-7CD6-4591-AF05-DAE8182715BF}"/>
  </bookViews>
  <sheets>
    <sheet name="raw data" sheetId="1" r:id="rId1"/>
    <sheet name="clean data" sheetId="3" r:id="rId2"/>
    <sheet name="lookup tables" sheetId="4" r:id="rId3"/>
    <sheet name="analysis" sheetId="5" r:id="rId4"/>
    <sheet name="pivot summary" sheetId="6" r:id="rId5"/>
    <sheet name="KPI DASHboard" sheetId="7" r:id="rId6"/>
  </sheets>
  <definedNames>
    <definedName name="Slicer_Product_type">#N/A</definedName>
    <definedName name="Slicer_Shipping_carriers">#N/A</definedName>
    <definedName name="Slicer_Supplier_nam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29" i="5" l="1"/>
  <c r="C229" i="5"/>
  <c r="B229" i="5"/>
  <c r="E229" i="5" s="1"/>
  <c r="B228" i="5"/>
  <c r="E228" i="5" s="1"/>
  <c r="D228" i="5"/>
  <c r="D227" i="5"/>
  <c r="D226" i="5"/>
  <c r="D225" i="5"/>
  <c r="C228" i="5"/>
  <c r="C227" i="5"/>
  <c r="C226" i="5"/>
  <c r="C225" i="5"/>
  <c r="B227" i="5"/>
  <c r="E227" i="5" s="1"/>
  <c r="B226" i="5"/>
  <c r="E226" i="5" s="1"/>
  <c r="B225" i="5"/>
  <c r="E225" i="5" s="1"/>
  <c r="B221" i="5"/>
  <c r="B220" i="5"/>
  <c r="B219" i="5"/>
  <c r="A126" i="5"/>
  <c r="B126" i="5"/>
  <c r="C126" i="5"/>
  <c r="A127" i="5"/>
  <c r="B127" i="5"/>
  <c r="C127" i="5"/>
  <c r="A128" i="5"/>
  <c r="B128" i="5"/>
  <c r="C128" i="5"/>
  <c r="A129" i="5"/>
  <c r="B129" i="5"/>
  <c r="C129" i="5"/>
  <c r="A130" i="5"/>
  <c r="B130" i="5"/>
  <c r="C130" i="5"/>
  <c r="A131" i="5"/>
  <c r="B131" i="5"/>
  <c r="C131" i="5"/>
  <c r="A132" i="5"/>
  <c r="B132" i="5"/>
  <c r="C132" i="5"/>
  <c r="A133" i="5"/>
  <c r="B133" i="5"/>
  <c r="C133" i="5"/>
  <c r="A134" i="5"/>
  <c r="B134" i="5"/>
  <c r="C134" i="5"/>
  <c r="A135" i="5"/>
  <c r="B135" i="5"/>
  <c r="C135" i="5"/>
  <c r="A136" i="5"/>
  <c r="B136" i="5"/>
  <c r="C136" i="5"/>
  <c r="A137" i="5"/>
  <c r="B137" i="5"/>
  <c r="C137" i="5"/>
  <c r="A138" i="5"/>
  <c r="B138" i="5"/>
  <c r="C138" i="5"/>
  <c r="A139" i="5"/>
  <c r="B139" i="5"/>
  <c r="C139" i="5"/>
  <c r="A140" i="5"/>
  <c r="B140" i="5"/>
  <c r="C140" i="5"/>
  <c r="A141" i="5"/>
  <c r="B141" i="5"/>
  <c r="C141" i="5"/>
  <c r="A142" i="5"/>
  <c r="B142" i="5"/>
  <c r="C142" i="5"/>
  <c r="A143" i="5"/>
  <c r="B143" i="5"/>
  <c r="C143" i="5"/>
  <c r="A144" i="5"/>
  <c r="B144" i="5"/>
  <c r="C144" i="5"/>
  <c r="A145" i="5"/>
  <c r="B145" i="5"/>
  <c r="C145" i="5"/>
  <c r="A146" i="5"/>
  <c r="B146" i="5"/>
  <c r="C146" i="5"/>
  <c r="A147" i="5"/>
  <c r="B147" i="5"/>
  <c r="C147" i="5"/>
  <c r="A148" i="5"/>
  <c r="B148" i="5"/>
  <c r="C148" i="5"/>
  <c r="A149" i="5"/>
  <c r="B149" i="5"/>
  <c r="C149" i="5"/>
  <c r="A150" i="5"/>
  <c r="B150" i="5"/>
  <c r="C150" i="5"/>
  <c r="A151" i="5"/>
  <c r="B151" i="5"/>
  <c r="C151" i="5"/>
  <c r="A152" i="5"/>
  <c r="B152" i="5"/>
  <c r="C152" i="5"/>
  <c r="A153" i="5"/>
  <c r="B153" i="5"/>
  <c r="C153" i="5"/>
  <c r="A154" i="5"/>
  <c r="B154" i="5"/>
  <c r="C154" i="5"/>
  <c r="A155" i="5"/>
  <c r="B155" i="5"/>
  <c r="C155" i="5"/>
  <c r="A156" i="5"/>
  <c r="B156" i="5"/>
  <c r="C156" i="5"/>
  <c r="A157" i="5"/>
  <c r="B157" i="5"/>
  <c r="C157" i="5"/>
  <c r="A158" i="5"/>
  <c r="B158" i="5"/>
  <c r="C158" i="5"/>
  <c r="A159" i="5"/>
  <c r="B159" i="5"/>
  <c r="C159" i="5"/>
  <c r="A160" i="5"/>
  <c r="B160" i="5"/>
  <c r="C160" i="5"/>
  <c r="A161" i="5"/>
  <c r="B161" i="5"/>
  <c r="C161" i="5"/>
  <c r="A162" i="5"/>
  <c r="B162" i="5"/>
  <c r="C162" i="5"/>
  <c r="A163" i="5"/>
  <c r="B163" i="5"/>
  <c r="C163" i="5"/>
  <c r="A164" i="5"/>
  <c r="B164" i="5"/>
  <c r="C164" i="5"/>
  <c r="A165" i="5"/>
  <c r="B165" i="5"/>
  <c r="C165" i="5"/>
  <c r="A166" i="5"/>
  <c r="B166" i="5"/>
  <c r="C166" i="5"/>
  <c r="A167" i="5"/>
  <c r="B167" i="5"/>
  <c r="C167" i="5"/>
  <c r="A168" i="5"/>
  <c r="B168" i="5"/>
  <c r="C168" i="5"/>
  <c r="A169" i="5"/>
  <c r="B169" i="5"/>
  <c r="C169" i="5"/>
  <c r="A170" i="5"/>
  <c r="B170" i="5"/>
  <c r="C170" i="5"/>
  <c r="A171" i="5"/>
  <c r="B171" i="5"/>
  <c r="C171" i="5"/>
  <c r="A172" i="5"/>
  <c r="B172" i="5"/>
  <c r="C172" i="5"/>
  <c r="A173" i="5"/>
  <c r="B173" i="5"/>
  <c r="C173" i="5"/>
  <c r="A174" i="5"/>
  <c r="B174" i="5"/>
  <c r="C174" i="5"/>
  <c r="A175" i="5"/>
  <c r="B175" i="5"/>
  <c r="C175" i="5"/>
  <c r="A176" i="5"/>
  <c r="B176" i="5"/>
  <c r="C176" i="5"/>
  <c r="A177" i="5"/>
  <c r="B177" i="5"/>
  <c r="C177" i="5"/>
  <c r="A178" i="5"/>
  <c r="B178" i="5"/>
  <c r="C178" i="5"/>
  <c r="A179" i="5"/>
  <c r="B179" i="5"/>
  <c r="C179" i="5"/>
  <c r="A180" i="5"/>
  <c r="B180" i="5"/>
  <c r="C180" i="5"/>
  <c r="A181" i="5"/>
  <c r="B181" i="5"/>
  <c r="C181" i="5"/>
  <c r="A182" i="5"/>
  <c r="B182" i="5"/>
  <c r="C182" i="5"/>
  <c r="A183" i="5"/>
  <c r="B183" i="5"/>
  <c r="C183" i="5"/>
  <c r="A184" i="5"/>
  <c r="B184" i="5"/>
  <c r="C184" i="5"/>
  <c r="A185" i="5"/>
  <c r="B185" i="5"/>
  <c r="C185" i="5"/>
  <c r="A186" i="5"/>
  <c r="B186" i="5"/>
  <c r="C186" i="5"/>
  <c r="A187" i="5"/>
  <c r="B187" i="5"/>
  <c r="C187" i="5"/>
  <c r="A188" i="5"/>
  <c r="B188" i="5"/>
  <c r="C188" i="5"/>
  <c r="A189" i="5"/>
  <c r="B189" i="5"/>
  <c r="C189" i="5"/>
  <c r="A190" i="5"/>
  <c r="B190" i="5"/>
  <c r="C190" i="5"/>
  <c r="A191" i="5"/>
  <c r="B191" i="5"/>
  <c r="C191" i="5"/>
  <c r="A192" i="5"/>
  <c r="B192" i="5"/>
  <c r="C192" i="5"/>
  <c r="A193" i="5"/>
  <c r="B193" i="5"/>
  <c r="C193" i="5"/>
  <c r="A194" i="5"/>
  <c r="B194" i="5"/>
  <c r="C194" i="5"/>
  <c r="A195" i="5"/>
  <c r="B195" i="5"/>
  <c r="C195" i="5"/>
  <c r="A196" i="5"/>
  <c r="B196" i="5"/>
  <c r="C196" i="5"/>
  <c r="A197" i="5"/>
  <c r="B197" i="5"/>
  <c r="C197" i="5"/>
  <c r="A198" i="5"/>
  <c r="B198" i="5"/>
  <c r="C198" i="5"/>
  <c r="A199" i="5"/>
  <c r="B199" i="5"/>
  <c r="C199" i="5"/>
  <c r="A200" i="5"/>
  <c r="B200" i="5"/>
  <c r="C200" i="5"/>
  <c r="A201" i="5"/>
  <c r="B201" i="5"/>
  <c r="C201" i="5"/>
  <c r="A202" i="5"/>
  <c r="B202" i="5"/>
  <c r="C202" i="5"/>
  <c r="A203" i="5"/>
  <c r="B203" i="5"/>
  <c r="C203" i="5"/>
  <c r="A204" i="5"/>
  <c r="B204" i="5"/>
  <c r="C204" i="5"/>
  <c r="A205" i="5"/>
  <c r="B205" i="5"/>
  <c r="C205" i="5"/>
  <c r="A206" i="5"/>
  <c r="B206" i="5"/>
  <c r="C206" i="5"/>
  <c r="A207" i="5"/>
  <c r="B207" i="5"/>
  <c r="C207" i="5"/>
  <c r="A208" i="5"/>
  <c r="B208" i="5"/>
  <c r="C208" i="5"/>
  <c r="A209" i="5"/>
  <c r="B209" i="5"/>
  <c r="C209" i="5"/>
  <c r="A210" i="5"/>
  <c r="B210" i="5"/>
  <c r="C210" i="5"/>
  <c r="A211" i="5"/>
  <c r="B211" i="5"/>
  <c r="C211" i="5"/>
  <c r="A113" i="5"/>
  <c r="B113" i="5"/>
  <c r="C113" i="5"/>
  <c r="A114" i="5"/>
  <c r="B114" i="5"/>
  <c r="C114" i="5"/>
  <c r="A115" i="5"/>
  <c r="B115" i="5"/>
  <c r="C115" i="5"/>
  <c r="A116" i="5"/>
  <c r="B116" i="5"/>
  <c r="C116" i="5"/>
  <c r="A117" i="5"/>
  <c r="B117" i="5"/>
  <c r="C117" i="5"/>
  <c r="A118" i="5"/>
  <c r="B118" i="5"/>
  <c r="C118" i="5"/>
  <c r="A119" i="5"/>
  <c r="B119" i="5"/>
  <c r="C119" i="5"/>
  <c r="A120" i="5"/>
  <c r="B120" i="5"/>
  <c r="C120" i="5"/>
  <c r="A121" i="5"/>
  <c r="B121" i="5"/>
  <c r="C121" i="5"/>
  <c r="A122" i="5"/>
  <c r="B122" i="5"/>
  <c r="C122" i="5"/>
  <c r="A123" i="5"/>
  <c r="B123" i="5"/>
  <c r="C123" i="5"/>
  <c r="A124" i="5"/>
  <c r="B124" i="5"/>
  <c r="C124" i="5"/>
  <c r="A125" i="5"/>
  <c r="B125" i="5"/>
  <c r="C125" i="5"/>
  <c r="C112" i="5"/>
  <c r="B112" i="5"/>
  <c r="A112" i="5"/>
  <c r="B109" i="5"/>
  <c r="AE3" i="5"/>
  <c r="AE4" i="5"/>
  <c r="AE5" i="5"/>
  <c r="AE6" i="5"/>
  <c r="AE7" i="5"/>
  <c r="AE8" i="5"/>
  <c r="AE9" i="5"/>
  <c r="AE10" i="5"/>
  <c r="AE11" i="5"/>
  <c r="AE12" i="5"/>
  <c r="AE13" i="5"/>
  <c r="AE14" i="5"/>
  <c r="AE15" i="5"/>
  <c r="AE16" i="5"/>
  <c r="AE17" i="5"/>
  <c r="AE18" i="5"/>
  <c r="AE19" i="5"/>
  <c r="AE20" i="5"/>
  <c r="AE21" i="5"/>
  <c r="AE22" i="5"/>
  <c r="AE23" i="5"/>
  <c r="AE24" i="5"/>
  <c r="AE25" i="5"/>
  <c r="AE26" i="5"/>
  <c r="AE27" i="5"/>
  <c r="AE28" i="5"/>
  <c r="AE29" i="5"/>
  <c r="AE30" i="5"/>
  <c r="AE31" i="5"/>
  <c r="AE32" i="5"/>
  <c r="AE33" i="5"/>
  <c r="AE34" i="5"/>
  <c r="AE35" i="5"/>
  <c r="AE36" i="5"/>
  <c r="AE37" i="5"/>
  <c r="AE38" i="5"/>
  <c r="AE39" i="5"/>
  <c r="AE40" i="5"/>
  <c r="AE41" i="5"/>
  <c r="AE42" i="5"/>
  <c r="AE43" i="5"/>
  <c r="AE44" i="5"/>
  <c r="AE45" i="5"/>
  <c r="AE46" i="5"/>
  <c r="AE47" i="5"/>
  <c r="AE48" i="5"/>
  <c r="AE49" i="5"/>
  <c r="AE50" i="5"/>
  <c r="AE51" i="5"/>
  <c r="AE52" i="5"/>
  <c r="AE53" i="5"/>
  <c r="AE54" i="5"/>
  <c r="AE55" i="5"/>
  <c r="AE56" i="5"/>
  <c r="AE57" i="5"/>
  <c r="AE58" i="5"/>
  <c r="AE59" i="5"/>
  <c r="AE60" i="5"/>
  <c r="AE61" i="5"/>
  <c r="AE62" i="5"/>
  <c r="AE63" i="5"/>
  <c r="AE64" i="5"/>
  <c r="AE65" i="5"/>
  <c r="AE66" i="5"/>
  <c r="AE67" i="5"/>
  <c r="AE68" i="5"/>
  <c r="AE69" i="5"/>
  <c r="AE70" i="5"/>
  <c r="AE71" i="5"/>
  <c r="AE72" i="5"/>
  <c r="AE73" i="5"/>
  <c r="AE74" i="5"/>
  <c r="AE75" i="5"/>
  <c r="AE76" i="5"/>
  <c r="AE77" i="5"/>
  <c r="AE78" i="5"/>
  <c r="AE79" i="5"/>
  <c r="AE80" i="5"/>
  <c r="AE81" i="5"/>
  <c r="AE82" i="5"/>
  <c r="AE83" i="5"/>
  <c r="AE84" i="5"/>
  <c r="AE85" i="5"/>
  <c r="AE86" i="5"/>
  <c r="AE87" i="5"/>
  <c r="AE88" i="5"/>
  <c r="AE89" i="5"/>
  <c r="AE90" i="5"/>
  <c r="AE91" i="5"/>
  <c r="AE92" i="5"/>
  <c r="AE93" i="5"/>
  <c r="AE94" i="5"/>
  <c r="AE95" i="5"/>
  <c r="AE96" i="5"/>
  <c r="AE97" i="5"/>
  <c r="AE98" i="5"/>
  <c r="AE99" i="5"/>
  <c r="AE100" i="5"/>
  <c r="AE101" i="5"/>
  <c r="AE2" i="5"/>
  <c r="AD3" i="5"/>
  <c r="AD4" i="5"/>
  <c r="AD5" i="5"/>
  <c r="AD6" i="5"/>
  <c r="AD7" i="5"/>
  <c r="AD8" i="5"/>
  <c r="AD9" i="5"/>
  <c r="AD10" i="5"/>
  <c r="AD11" i="5"/>
  <c r="AD12" i="5"/>
  <c r="AD13" i="5"/>
  <c r="AD14" i="5"/>
  <c r="AD15" i="5"/>
  <c r="AD16" i="5"/>
  <c r="AD17" i="5"/>
  <c r="AD18" i="5"/>
  <c r="AD19" i="5"/>
  <c r="AD20" i="5"/>
  <c r="AD21" i="5"/>
  <c r="AD22" i="5"/>
  <c r="AD23" i="5"/>
  <c r="AD24" i="5"/>
  <c r="AD25" i="5"/>
  <c r="AD26" i="5"/>
  <c r="AD27" i="5"/>
  <c r="AD28" i="5"/>
  <c r="AD29" i="5"/>
  <c r="AD30" i="5"/>
  <c r="AD31" i="5"/>
  <c r="AD32" i="5"/>
  <c r="AD33" i="5"/>
  <c r="AD34" i="5"/>
  <c r="AD35" i="5"/>
  <c r="AD36" i="5"/>
  <c r="AD37" i="5"/>
  <c r="AD38" i="5"/>
  <c r="AD39" i="5"/>
  <c r="AD40" i="5"/>
  <c r="AD41" i="5"/>
  <c r="AD42" i="5"/>
  <c r="AD43" i="5"/>
  <c r="AD44" i="5"/>
  <c r="AD45" i="5"/>
  <c r="AD46" i="5"/>
  <c r="AD47" i="5"/>
  <c r="AD48" i="5"/>
  <c r="AD49" i="5"/>
  <c r="AD50" i="5"/>
  <c r="AD51" i="5"/>
  <c r="AD52" i="5"/>
  <c r="AD53" i="5"/>
  <c r="AD54" i="5"/>
  <c r="AD55" i="5"/>
  <c r="AD56" i="5"/>
  <c r="AD57" i="5"/>
  <c r="AD58" i="5"/>
  <c r="AD59" i="5"/>
  <c r="AD60" i="5"/>
  <c r="AD61" i="5"/>
  <c r="AD62" i="5"/>
  <c r="AD63" i="5"/>
  <c r="AD64" i="5"/>
  <c r="AD65" i="5"/>
  <c r="AD66" i="5"/>
  <c r="AD67" i="5"/>
  <c r="AD68" i="5"/>
  <c r="AD69" i="5"/>
  <c r="AD70" i="5"/>
  <c r="AD71" i="5"/>
  <c r="AD72" i="5"/>
  <c r="AD73" i="5"/>
  <c r="AD74" i="5"/>
  <c r="AD75" i="5"/>
  <c r="AD76" i="5"/>
  <c r="AD77" i="5"/>
  <c r="AD78" i="5"/>
  <c r="AD79" i="5"/>
  <c r="AD80" i="5"/>
  <c r="AD81" i="5"/>
  <c r="AD82" i="5"/>
  <c r="AD83" i="5"/>
  <c r="AD84" i="5"/>
  <c r="AD85" i="5"/>
  <c r="AD86" i="5"/>
  <c r="AD87" i="5"/>
  <c r="AD88" i="5"/>
  <c r="AD89" i="5"/>
  <c r="AD90" i="5"/>
  <c r="AD91" i="5"/>
  <c r="AD92" i="5"/>
  <c r="AD93" i="5"/>
  <c r="AD94" i="5"/>
  <c r="AD95" i="5"/>
  <c r="AD96" i="5"/>
  <c r="AD97" i="5"/>
  <c r="AD98" i="5"/>
  <c r="AD99" i="5"/>
  <c r="AD100" i="5"/>
  <c r="AD101" i="5"/>
  <c r="AD2" i="5"/>
  <c r="AC2" i="5"/>
  <c r="AC3" i="5"/>
  <c r="AC4" i="5"/>
  <c r="AC5" i="5"/>
  <c r="AC6" i="5"/>
  <c r="AC7" i="5"/>
  <c r="AC8" i="5"/>
  <c r="AC9" i="5"/>
  <c r="AC10" i="5"/>
  <c r="AC11" i="5"/>
  <c r="AC12" i="5"/>
  <c r="AC13" i="5"/>
  <c r="AC14" i="5"/>
  <c r="AC15" i="5"/>
  <c r="AC16" i="5"/>
  <c r="AC17" i="5"/>
  <c r="AC18" i="5"/>
  <c r="AC19" i="5"/>
  <c r="AC20" i="5"/>
  <c r="AC21" i="5"/>
  <c r="AC22" i="5"/>
  <c r="AC23" i="5"/>
  <c r="AC24" i="5"/>
  <c r="AC25" i="5"/>
  <c r="AC26" i="5"/>
  <c r="AC27" i="5"/>
  <c r="AC28" i="5"/>
  <c r="AC29" i="5"/>
  <c r="AC30" i="5"/>
  <c r="AC31" i="5"/>
  <c r="AC32" i="5"/>
  <c r="AC33" i="5"/>
  <c r="AC34" i="5"/>
  <c r="AC35" i="5"/>
  <c r="AC36" i="5"/>
  <c r="AC37" i="5"/>
  <c r="AC38" i="5"/>
  <c r="AC39" i="5"/>
  <c r="AC40" i="5"/>
  <c r="AC41" i="5"/>
  <c r="AC42" i="5"/>
  <c r="AC43" i="5"/>
  <c r="AC44" i="5"/>
  <c r="AC45" i="5"/>
  <c r="AC46" i="5"/>
  <c r="AC47" i="5"/>
  <c r="AC48" i="5"/>
  <c r="AC49" i="5"/>
  <c r="AC50" i="5"/>
  <c r="AC51" i="5"/>
  <c r="AC52" i="5"/>
  <c r="AC53" i="5"/>
  <c r="AC54" i="5"/>
  <c r="AC55" i="5"/>
  <c r="AC56" i="5"/>
  <c r="AC57" i="5"/>
  <c r="AC58" i="5"/>
  <c r="AC59" i="5"/>
  <c r="AC60" i="5"/>
  <c r="AC61" i="5"/>
  <c r="AC62" i="5"/>
  <c r="AC63" i="5"/>
  <c r="AC64" i="5"/>
  <c r="AC65" i="5"/>
  <c r="AC66" i="5"/>
  <c r="AC67" i="5"/>
  <c r="AC68" i="5"/>
  <c r="AC69" i="5"/>
  <c r="AC70" i="5"/>
  <c r="AC71" i="5"/>
  <c r="AC72" i="5"/>
  <c r="AC73" i="5"/>
  <c r="AC74" i="5"/>
  <c r="AC75" i="5"/>
  <c r="AC76" i="5"/>
  <c r="AC77" i="5"/>
  <c r="AC78" i="5"/>
  <c r="AC79" i="5"/>
  <c r="AC80" i="5"/>
  <c r="AC81" i="5"/>
  <c r="AC82" i="5"/>
  <c r="AC83" i="5"/>
  <c r="AC84" i="5"/>
  <c r="AC85" i="5"/>
  <c r="AC86" i="5"/>
  <c r="AC87" i="5"/>
  <c r="AC88" i="5"/>
  <c r="AC89" i="5"/>
  <c r="AC90" i="5"/>
  <c r="AC91" i="5"/>
  <c r="AC92" i="5"/>
  <c r="AC93" i="5"/>
  <c r="AC94" i="5"/>
  <c r="AC95" i="5"/>
  <c r="AC96" i="5"/>
  <c r="AC97" i="5"/>
  <c r="AC98" i="5"/>
  <c r="AC99" i="5"/>
  <c r="AC100" i="5"/>
  <c r="AC101" i="5"/>
  <c r="AB3" i="5"/>
  <c r="AB4" i="5"/>
  <c r="AB5" i="5"/>
  <c r="AB6" i="5"/>
  <c r="AB7" i="5"/>
  <c r="AB8" i="5"/>
  <c r="AB9" i="5"/>
  <c r="AB10" i="5"/>
  <c r="AB11" i="5"/>
  <c r="AB12" i="5"/>
  <c r="AB13" i="5"/>
  <c r="AB14" i="5"/>
  <c r="AB15" i="5"/>
  <c r="AB16" i="5"/>
  <c r="AB17" i="5"/>
  <c r="AB18" i="5"/>
  <c r="AB19" i="5"/>
  <c r="AB20" i="5"/>
  <c r="AB21" i="5"/>
  <c r="AB22" i="5"/>
  <c r="AB23" i="5"/>
  <c r="AB24" i="5"/>
  <c r="AB25" i="5"/>
  <c r="AB26" i="5"/>
  <c r="AB27" i="5"/>
  <c r="AB28" i="5"/>
  <c r="AB29" i="5"/>
  <c r="AB30" i="5"/>
  <c r="AB31" i="5"/>
  <c r="AB32" i="5"/>
  <c r="AB33" i="5"/>
  <c r="AB34" i="5"/>
  <c r="AB35" i="5"/>
  <c r="AB36" i="5"/>
  <c r="AB37" i="5"/>
  <c r="AB38" i="5"/>
  <c r="AB39" i="5"/>
  <c r="AB40" i="5"/>
  <c r="AB41" i="5"/>
  <c r="AB42" i="5"/>
  <c r="AB43" i="5"/>
  <c r="AB44" i="5"/>
  <c r="AB45" i="5"/>
  <c r="AB46" i="5"/>
  <c r="AB47" i="5"/>
  <c r="AB48" i="5"/>
  <c r="AB49" i="5"/>
  <c r="AB50" i="5"/>
  <c r="AB51" i="5"/>
  <c r="AB52" i="5"/>
  <c r="AB53" i="5"/>
  <c r="AB54" i="5"/>
  <c r="AB55" i="5"/>
  <c r="AB56" i="5"/>
  <c r="AB57" i="5"/>
  <c r="AB58" i="5"/>
  <c r="AB59" i="5"/>
  <c r="AB60" i="5"/>
  <c r="AB61" i="5"/>
  <c r="AB62" i="5"/>
  <c r="AB63" i="5"/>
  <c r="AB64" i="5"/>
  <c r="AB65" i="5"/>
  <c r="AB66" i="5"/>
  <c r="AB67" i="5"/>
  <c r="AB68" i="5"/>
  <c r="AB69" i="5"/>
  <c r="AB70" i="5"/>
  <c r="AB71" i="5"/>
  <c r="AB72" i="5"/>
  <c r="AB73" i="5"/>
  <c r="AB74" i="5"/>
  <c r="AB75" i="5"/>
  <c r="AB76" i="5"/>
  <c r="AB77" i="5"/>
  <c r="AB78" i="5"/>
  <c r="AB79" i="5"/>
  <c r="AB80" i="5"/>
  <c r="AB81" i="5"/>
  <c r="AB82" i="5"/>
  <c r="AB83" i="5"/>
  <c r="AB84" i="5"/>
  <c r="AB85" i="5"/>
  <c r="AB86" i="5"/>
  <c r="AB87" i="5"/>
  <c r="AB88" i="5"/>
  <c r="AB89" i="5"/>
  <c r="AB90" i="5"/>
  <c r="AB91" i="5"/>
  <c r="AB92" i="5"/>
  <c r="AB93" i="5"/>
  <c r="AB94" i="5"/>
  <c r="AB95" i="5"/>
  <c r="AB96" i="5"/>
  <c r="AB97" i="5"/>
  <c r="AB98" i="5"/>
  <c r="AB99" i="5"/>
  <c r="AB100" i="5"/>
  <c r="AB101" i="5"/>
  <c r="AB2" i="5"/>
  <c r="AA3" i="5"/>
  <c r="AA4" i="5"/>
  <c r="AA5" i="5"/>
  <c r="AA6" i="5"/>
  <c r="AA7" i="5"/>
  <c r="AA8" i="5"/>
  <c r="AA9" i="5"/>
  <c r="AA10" i="5"/>
  <c r="AA11" i="5"/>
  <c r="AA12" i="5"/>
  <c r="AA13" i="5"/>
  <c r="AA14" i="5"/>
  <c r="AA15" i="5"/>
  <c r="AA16" i="5"/>
  <c r="AA17" i="5"/>
  <c r="AA18" i="5"/>
  <c r="AA19" i="5"/>
  <c r="AA20" i="5"/>
  <c r="AA21" i="5"/>
  <c r="AA22" i="5"/>
  <c r="AA23" i="5"/>
  <c r="AA24" i="5"/>
  <c r="AA25" i="5"/>
  <c r="AA26" i="5"/>
  <c r="AA27" i="5"/>
  <c r="AA28" i="5"/>
  <c r="AA29" i="5"/>
  <c r="AA30" i="5"/>
  <c r="AA31" i="5"/>
  <c r="AA32" i="5"/>
  <c r="AA33" i="5"/>
  <c r="AA34" i="5"/>
  <c r="AA35" i="5"/>
  <c r="AA36" i="5"/>
  <c r="AA37" i="5"/>
  <c r="AA38" i="5"/>
  <c r="AA39" i="5"/>
  <c r="AA40" i="5"/>
  <c r="AA41" i="5"/>
  <c r="AA42" i="5"/>
  <c r="AA43" i="5"/>
  <c r="AA44" i="5"/>
  <c r="AA45" i="5"/>
  <c r="AA46" i="5"/>
  <c r="AA47" i="5"/>
  <c r="AA48" i="5"/>
  <c r="AA49" i="5"/>
  <c r="AA50" i="5"/>
  <c r="AA51" i="5"/>
  <c r="AA52" i="5"/>
  <c r="AA53" i="5"/>
  <c r="AA54" i="5"/>
  <c r="AA55" i="5"/>
  <c r="AA56" i="5"/>
  <c r="AA57" i="5"/>
  <c r="AA58" i="5"/>
  <c r="AA59" i="5"/>
  <c r="AA60" i="5"/>
  <c r="AA61" i="5"/>
  <c r="AA62" i="5"/>
  <c r="AA63" i="5"/>
  <c r="AA64" i="5"/>
  <c r="AA65" i="5"/>
  <c r="AA66" i="5"/>
  <c r="AA67" i="5"/>
  <c r="AA68" i="5"/>
  <c r="AA69" i="5"/>
  <c r="AA70" i="5"/>
  <c r="AA71" i="5"/>
  <c r="AA72" i="5"/>
  <c r="AA73" i="5"/>
  <c r="AA74" i="5"/>
  <c r="AA75" i="5"/>
  <c r="AA76" i="5"/>
  <c r="AA77" i="5"/>
  <c r="AA78" i="5"/>
  <c r="AA79" i="5"/>
  <c r="AA80" i="5"/>
  <c r="AA81" i="5"/>
  <c r="AA82" i="5"/>
  <c r="AA83" i="5"/>
  <c r="AA84" i="5"/>
  <c r="AA85" i="5"/>
  <c r="AA86" i="5"/>
  <c r="AA87" i="5"/>
  <c r="AA88" i="5"/>
  <c r="AA89" i="5"/>
  <c r="AA90" i="5"/>
  <c r="AA91" i="5"/>
  <c r="AA92" i="5"/>
  <c r="AA93" i="5"/>
  <c r="AA94" i="5"/>
  <c r="AA95" i="5"/>
  <c r="AA96" i="5"/>
  <c r="AA97" i="5"/>
  <c r="AA98" i="5"/>
  <c r="AA99" i="5"/>
  <c r="AA100" i="5"/>
  <c r="AA101" i="5"/>
  <c r="AA2" i="5"/>
  <c r="Z3" i="5"/>
  <c r="Z4" i="5"/>
  <c r="Z5" i="5"/>
  <c r="Z6" i="5"/>
  <c r="Z7" i="5"/>
  <c r="Z8" i="5"/>
  <c r="Z9" i="5"/>
  <c r="Z10" i="5"/>
  <c r="Z11" i="5"/>
  <c r="Z12" i="5"/>
  <c r="Z13" i="5"/>
  <c r="Z14" i="5"/>
  <c r="Z15" i="5"/>
  <c r="Z16" i="5"/>
  <c r="Z17" i="5"/>
  <c r="Z18" i="5"/>
  <c r="Z19" i="5"/>
  <c r="Z20" i="5"/>
  <c r="Z21" i="5"/>
  <c r="Z22" i="5"/>
  <c r="Z23" i="5"/>
  <c r="Z24" i="5"/>
  <c r="Z25" i="5"/>
  <c r="Z26" i="5"/>
  <c r="Z27" i="5"/>
  <c r="Z28" i="5"/>
  <c r="Z29" i="5"/>
  <c r="Z30" i="5"/>
  <c r="Z31" i="5"/>
  <c r="Z32" i="5"/>
  <c r="Z33" i="5"/>
  <c r="Z34" i="5"/>
  <c r="Z35" i="5"/>
  <c r="Z36" i="5"/>
  <c r="Z37" i="5"/>
  <c r="Z38" i="5"/>
  <c r="Z39" i="5"/>
  <c r="Z40" i="5"/>
  <c r="Z41" i="5"/>
  <c r="Z42" i="5"/>
  <c r="Z43" i="5"/>
  <c r="Z44" i="5"/>
  <c r="Z45" i="5"/>
  <c r="Z46" i="5"/>
  <c r="Z47" i="5"/>
  <c r="Z48" i="5"/>
  <c r="Z49" i="5"/>
  <c r="Z50" i="5"/>
  <c r="Z51" i="5"/>
  <c r="Z52" i="5"/>
  <c r="Z53" i="5"/>
  <c r="Z54" i="5"/>
  <c r="Z55" i="5"/>
  <c r="Z56" i="5"/>
  <c r="Z57" i="5"/>
  <c r="Z58" i="5"/>
  <c r="Z59" i="5"/>
  <c r="Z60" i="5"/>
  <c r="Z61" i="5"/>
  <c r="Z62" i="5"/>
  <c r="Z63" i="5"/>
  <c r="Z64" i="5"/>
  <c r="Z65" i="5"/>
  <c r="Z66" i="5"/>
  <c r="Z67" i="5"/>
  <c r="Z68" i="5"/>
  <c r="Z69" i="5"/>
  <c r="Z70" i="5"/>
  <c r="Z71" i="5"/>
  <c r="Z72" i="5"/>
  <c r="Z73" i="5"/>
  <c r="Z74" i="5"/>
  <c r="Z75" i="5"/>
  <c r="Z76" i="5"/>
  <c r="Z77" i="5"/>
  <c r="Z78" i="5"/>
  <c r="Z79" i="5"/>
  <c r="Z80" i="5"/>
  <c r="Z81" i="5"/>
  <c r="Z82" i="5"/>
  <c r="Z83" i="5"/>
  <c r="Z84" i="5"/>
  <c r="Z85" i="5"/>
  <c r="Z86" i="5"/>
  <c r="Z87" i="5"/>
  <c r="Z88" i="5"/>
  <c r="Z89" i="5"/>
  <c r="Z90" i="5"/>
  <c r="Z91" i="5"/>
  <c r="Z92" i="5"/>
  <c r="Z93" i="5"/>
  <c r="Z94" i="5"/>
  <c r="Z95" i="5"/>
  <c r="Z96" i="5"/>
  <c r="Z97" i="5"/>
  <c r="Z98" i="5"/>
  <c r="Z99" i="5"/>
  <c r="Z100" i="5"/>
  <c r="Z101" i="5"/>
  <c r="Z2" i="5"/>
  <c r="Y3" i="5"/>
  <c r="Y4" i="5"/>
  <c r="Y5" i="5"/>
  <c r="C221" i="5" s="1"/>
  <c r="D221" i="5" s="1"/>
  <c r="Y6" i="5"/>
  <c r="Y7" i="5"/>
  <c r="Y8" i="5"/>
  <c r="Y9" i="5"/>
  <c r="Y10" i="5"/>
  <c r="Y11" i="5"/>
  <c r="Y12" i="5"/>
  <c r="Y13" i="5"/>
  <c r="Y14" i="5"/>
  <c r="Y15" i="5"/>
  <c r="Y16" i="5"/>
  <c r="Y17" i="5"/>
  <c r="Y18" i="5"/>
  <c r="Y19" i="5"/>
  <c r="Y20" i="5"/>
  <c r="Y21" i="5"/>
  <c r="Y22" i="5"/>
  <c r="Y23" i="5"/>
  <c r="Y24" i="5"/>
  <c r="Y25" i="5"/>
  <c r="Y26" i="5"/>
  <c r="Y27" i="5"/>
  <c r="Y28" i="5"/>
  <c r="Y29" i="5"/>
  <c r="Y30" i="5"/>
  <c r="Y31" i="5"/>
  <c r="Y32" i="5"/>
  <c r="Y33" i="5"/>
  <c r="Y34" i="5"/>
  <c r="Y35" i="5"/>
  <c r="Y36" i="5"/>
  <c r="Y37" i="5"/>
  <c r="Y38" i="5"/>
  <c r="Y39" i="5"/>
  <c r="Y40" i="5"/>
  <c r="Y41" i="5"/>
  <c r="Y42" i="5"/>
  <c r="Y43" i="5"/>
  <c r="Y44" i="5"/>
  <c r="Y45" i="5"/>
  <c r="Y46" i="5"/>
  <c r="Y47" i="5"/>
  <c r="Y48" i="5"/>
  <c r="Y49" i="5"/>
  <c r="Y50" i="5"/>
  <c r="Y51" i="5"/>
  <c r="Y52" i="5"/>
  <c r="Y53" i="5"/>
  <c r="Y54" i="5"/>
  <c r="Y55" i="5"/>
  <c r="Y56" i="5"/>
  <c r="Y57" i="5"/>
  <c r="Y58" i="5"/>
  <c r="Y59" i="5"/>
  <c r="Y60" i="5"/>
  <c r="Y61" i="5"/>
  <c r="Y62" i="5"/>
  <c r="Y63" i="5"/>
  <c r="Y64" i="5"/>
  <c r="Y65" i="5"/>
  <c r="Y66" i="5"/>
  <c r="Y67" i="5"/>
  <c r="Y68" i="5"/>
  <c r="Y69" i="5"/>
  <c r="Y70" i="5"/>
  <c r="Y71" i="5"/>
  <c r="Y72" i="5"/>
  <c r="Y73" i="5"/>
  <c r="Y74" i="5"/>
  <c r="Y75" i="5"/>
  <c r="Y76" i="5"/>
  <c r="Y77" i="5"/>
  <c r="Y78" i="5"/>
  <c r="Y79" i="5"/>
  <c r="Y80" i="5"/>
  <c r="Y81" i="5"/>
  <c r="Y82" i="5"/>
  <c r="Y83" i="5"/>
  <c r="Y84" i="5"/>
  <c r="Y85" i="5"/>
  <c r="Y86" i="5"/>
  <c r="Y87" i="5"/>
  <c r="Y88" i="5"/>
  <c r="Y89" i="5"/>
  <c r="Y90" i="5"/>
  <c r="Y91" i="5"/>
  <c r="Y92" i="5"/>
  <c r="Y93" i="5"/>
  <c r="Y94" i="5"/>
  <c r="Y95" i="5"/>
  <c r="Y96" i="5"/>
  <c r="Y97" i="5"/>
  <c r="Y98" i="5"/>
  <c r="Y99" i="5"/>
  <c r="Y100" i="5"/>
  <c r="Y101" i="5"/>
  <c r="Y2" i="5"/>
  <c r="C220" i="5" s="1"/>
  <c r="AA2" i="3"/>
  <c r="AB2" i="3"/>
  <c r="AB3" i="3"/>
  <c r="AB4" i="3"/>
  <c r="AB5" i="3"/>
  <c r="AB6" i="3"/>
  <c r="AB7" i="3"/>
  <c r="AB8" i="3"/>
  <c r="AB9" i="3"/>
  <c r="AB10" i="3"/>
  <c r="AB11" i="3"/>
  <c r="AB12" i="3"/>
  <c r="AB13" i="3"/>
  <c r="AB14" i="3"/>
  <c r="AB15" i="3"/>
  <c r="AB16" i="3"/>
  <c r="AB17" i="3"/>
  <c r="AB18" i="3"/>
  <c r="AB19" i="3"/>
  <c r="AB20" i="3"/>
  <c r="AB21" i="3"/>
  <c r="AB22" i="3"/>
  <c r="AB23" i="3"/>
  <c r="AB24" i="3"/>
  <c r="AB25" i="3"/>
  <c r="AB26" i="3"/>
  <c r="AB27" i="3"/>
  <c r="AB28" i="3"/>
  <c r="AB29" i="3"/>
  <c r="AB30" i="3"/>
  <c r="AB31" i="3"/>
  <c r="AB32" i="3"/>
  <c r="AB33" i="3"/>
  <c r="AB34" i="3"/>
  <c r="AB35" i="3"/>
  <c r="AB36" i="3"/>
  <c r="AB37" i="3"/>
  <c r="AB38" i="3"/>
  <c r="AB39" i="3"/>
  <c r="AB40" i="3"/>
  <c r="AB41" i="3"/>
  <c r="AB42" i="3"/>
  <c r="AB43" i="3"/>
  <c r="AB44" i="3"/>
  <c r="AB45" i="3"/>
  <c r="AB46" i="3"/>
  <c r="AB47" i="3"/>
  <c r="AB48" i="3"/>
  <c r="AB49" i="3"/>
  <c r="AB50" i="3"/>
  <c r="AB51" i="3"/>
  <c r="AB52" i="3"/>
  <c r="AB53" i="3"/>
  <c r="AB54" i="3"/>
  <c r="AB55" i="3"/>
  <c r="AB56" i="3"/>
  <c r="AB57" i="3"/>
  <c r="AB58" i="3"/>
  <c r="AB59" i="3"/>
  <c r="AB60" i="3"/>
  <c r="AB61" i="3"/>
  <c r="AB62" i="3"/>
  <c r="AB63" i="3"/>
  <c r="AB64" i="3"/>
  <c r="AB65" i="3"/>
  <c r="AB66" i="3"/>
  <c r="AB67" i="3"/>
  <c r="AB68" i="3"/>
  <c r="AB69" i="3"/>
  <c r="AB70" i="3"/>
  <c r="AB71" i="3"/>
  <c r="AB72" i="3"/>
  <c r="AB73" i="3"/>
  <c r="AB74" i="3"/>
  <c r="AB75" i="3"/>
  <c r="AB76" i="3"/>
  <c r="AB77" i="3"/>
  <c r="AB78" i="3"/>
  <c r="AB79" i="3"/>
  <c r="AB80" i="3"/>
  <c r="AB81" i="3"/>
  <c r="AB82" i="3"/>
  <c r="AB83" i="3"/>
  <c r="AB84" i="3"/>
  <c r="AB85" i="3"/>
  <c r="AB86" i="3"/>
  <c r="AB87" i="3"/>
  <c r="AB88" i="3"/>
  <c r="AB89" i="3"/>
  <c r="AB90" i="3"/>
  <c r="AB91" i="3"/>
  <c r="AB92" i="3"/>
  <c r="AB93" i="3"/>
  <c r="AB94" i="3"/>
  <c r="AB95" i="3"/>
  <c r="AB96" i="3"/>
  <c r="AB97" i="3"/>
  <c r="AB98" i="3"/>
  <c r="AB99" i="3"/>
  <c r="AB100" i="3"/>
  <c r="AB101" i="3"/>
  <c r="AA3" i="3"/>
  <c r="AA4" i="3"/>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Z3" i="3"/>
  <c r="Z4" i="3"/>
  <c r="Z5" i="3"/>
  <c r="Z6" i="3"/>
  <c r="Z7" i="3"/>
  <c r="Z8" i="3"/>
  <c r="Z9" i="3"/>
  <c r="Z10" i="3"/>
  <c r="Z11" i="3"/>
  <c r="Z12" i="3"/>
  <c r="Z13" i="3"/>
  <c r="Z14" i="3"/>
  <c r="Z15" i="3"/>
  <c r="Z16" i="3"/>
  <c r="Z17" i="3"/>
  <c r="Z18" i="3"/>
  <c r="Z19" i="3"/>
  <c r="Z20" i="3"/>
  <c r="Z21" i="3"/>
  <c r="Z22" i="3"/>
  <c r="Z23" i="3"/>
  <c r="Z24" i="3"/>
  <c r="Z25" i="3"/>
  <c r="Z26" i="3"/>
  <c r="Z27" i="3"/>
  <c r="Z28" i="3"/>
  <c r="Z29" i="3"/>
  <c r="Z30" i="3"/>
  <c r="Z31" i="3"/>
  <c r="Z32" i="3"/>
  <c r="Z33" i="3"/>
  <c r="Z34" i="3"/>
  <c r="Z35" i="3"/>
  <c r="Z36" i="3"/>
  <c r="Z37" i="3"/>
  <c r="Z38" i="3"/>
  <c r="Z39" i="3"/>
  <c r="Z40" i="3"/>
  <c r="Z41" i="3"/>
  <c r="Z42" i="3"/>
  <c r="Z43" i="3"/>
  <c r="Z44" i="3"/>
  <c r="Z45" i="3"/>
  <c r="Z46" i="3"/>
  <c r="Z47" i="3"/>
  <c r="Z48" i="3"/>
  <c r="Z49" i="3"/>
  <c r="Z50" i="3"/>
  <c r="Z51" i="3"/>
  <c r="Z52" i="3"/>
  <c r="Z53" i="3"/>
  <c r="Z54" i="3"/>
  <c r="Z55" i="3"/>
  <c r="Z56" i="3"/>
  <c r="Z57" i="3"/>
  <c r="Z58" i="3"/>
  <c r="Z59" i="3"/>
  <c r="Z60" i="3"/>
  <c r="Z61" i="3"/>
  <c r="Z62" i="3"/>
  <c r="Z63" i="3"/>
  <c r="Z64" i="3"/>
  <c r="Z65" i="3"/>
  <c r="Z66" i="3"/>
  <c r="Z67" i="3"/>
  <c r="Z68" i="3"/>
  <c r="Z69" i="3"/>
  <c r="Z70" i="3"/>
  <c r="Z71" i="3"/>
  <c r="Z72" i="3"/>
  <c r="Z73" i="3"/>
  <c r="Z74" i="3"/>
  <c r="Z75" i="3"/>
  <c r="Z76" i="3"/>
  <c r="Z77" i="3"/>
  <c r="Z78" i="3"/>
  <c r="Z79" i="3"/>
  <c r="Z80" i="3"/>
  <c r="Z81" i="3"/>
  <c r="Z82" i="3"/>
  <c r="Z83" i="3"/>
  <c r="Z84" i="3"/>
  <c r="Z85" i="3"/>
  <c r="Z86" i="3"/>
  <c r="Z87" i="3"/>
  <c r="Z88" i="3"/>
  <c r="Z89" i="3"/>
  <c r="Z90" i="3"/>
  <c r="Z91" i="3"/>
  <c r="Z92" i="3"/>
  <c r="Z93" i="3"/>
  <c r="Z94" i="3"/>
  <c r="Z95" i="3"/>
  <c r="Z96" i="3"/>
  <c r="Z97" i="3"/>
  <c r="Z98" i="3"/>
  <c r="Z99" i="3"/>
  <c r="Z100" i="3"/>
  <c r="Z101" i="3"/>
  <c r="Z2" i="3"/>
  <c r="Y3" i="3"/>
  <c r="Y4" i="3"/>
  <c r="Y5" i="3"/>
  <c r="Y6" i="3"/>
  <c r="Y7" i="3"/>
  <c r="Y8" i="3"/>
  <c r="Y9" i="3"/>
  <c r="Y10" i="3"/>
  <c r="Y11" i="3"/>
  <c r="Y12" i="3"/>
  <c r="Y13" i="3"/>
  <c r="Y14" i="3"/>
  <c r="Y15" i="3"/>
  <c r="Y16" i="3"/>
  <c r="Y17" i="3"/>
  <c r="Y18" i="3"/>
  <c r="Y19" i="3"/>
  <c r="Y20" i="3"/>
  <c r="Y21" i="3"/>
  <c r="Y22" i="3"/>
  <c r="Y23" i="3"/>
  <c r="Y24" i="3"/>
  <c r="Y25" i="3"/>
  <c r="Y26" i="3"/>
  <c r="Y27" i="3"/>
  <c r="Y28" i="3"/>
  <c r="Y29" i="3"/>
  <c r="Y30" i="3"/>
  <c r="Y31" i="3"/>
  <c r="Y32" i="3"/>
  <c r="Y33" i="3"/>
  <c r="Y34" i="3"/>
  <c r="Y35" i="3"/>
  <c r="Y36" i="3"/>
  <c r="Y37" i="3"/>
  <c r="Y38" i="3"/>
  <c r="Y39" i="3"/>
  <c r="Y40" i="3"/>
  <c r="Y41" i="3"/>
  <c r="Y42" i="3"/>
  <c r="Y43" i="3"/>
  <c r="Y44" i="3"/>
  <c r="Y45" i="3"/>
  <c r="Y46" i="3"/>
  <c r="Y47" i="3"/>
  <c r="Y48" i="3"/>
  <c r="Y49" i="3"/>
  <c r="Y50" i="3"/>
  <c r="Y51" i="3"/>
  <c r="Y52" i="3"/>
  <c r="Y53" i="3"/>
  <c r="Y54" i="3"/>
  <c r="Y55" i="3"/>
  <c r="Y56" i="3"/>
  <c r="Y57" i="3"/>
  <c r="Y58" i="3"/>
  <c r="Y59" i="3"/>
  <c r="Y60" i="3"/>
  <c r="Y61" i="3"/>
  <c r="Y62" i="3"/>
  <c r="Y63" i="3"/>
  <c r="Y64" i="3"/>
  <c r="Y65" i="3"/>
  <c r="Y66" i="3"/>
  <c r="Y67" i="3"/>
  <c r="Y68" i="3"/>
  <c r="Y69" i="3"/>
  <c r="Y70" i="3"/>
  <c r="Y71" i="3"/>
  <c r="Y72" i="3"/>
  <c r="Y73" i="3"/>
  <c r="Y74" i="3"/>
  <c r="Y75" i="3"/>
  <c r="Y76" i="3"/>
  <c r="Y77" i="3"/>
  <c r="Y78" i="3"/>
  <c r="Y79" i="3"/>
  <c r="Y80" i="3"/>
  <c r="Y81" i="3"/>
  <c r="Y82" i="3"/>
  <c r="Y83" i="3"/>
  <c r="Y84" i="3"/>
  <c r="Y85" i="3"/>
  <c r="Y86" i="3"/>
  <c r="Y87" i="3"/>
  <c r="Y88" i="3"/>
  <c r="Y89" i="3"/>
  <c r="Y90" i="3"/>
  <c r="Y91" i="3"/>
  <c r="Y92" i="3"/>
  <c r="Y93" i="3"/>
  <c r="Y94" i="3"/>
  <c r="Y95" i="3"/>
  <c r="Y96" i="3"/>
  <c r="Y97" i="3"/>
  <c r="Y98" i="3"/>
  <c r="Y99" i="3"/>
  <c r="Y100" i="3"/>
  <c r="Y101" i="3"/>
  <c r="Y2" i="3"/>
  <c r="D112" i="5" l="1"/>
  <c r="C219" i="5"/>
  <c r="D219" i="5" s="1"/>
  <c r="D220" i="5"/>
  <c r="D113" i="5" l="1"/>
  <c r="E112" i="5"/>
  <c r="D114" i="5"/>
  <c r="E113" i="5"/>
  <c r="D115" i="5" l="1"/>
  <c r="E114" i="5"/>
  <c r="D116" i="5" l="1"/>
  <c r="E115" i="5"/>
  <c r="E116" i="5" l="1"/>
  <c r="D117" i="5"/>
  <c r="E117" i="5" l="1"/>
  <c r="D118" i="5"/>
  <c r="D119" i="5" l="1"/>
  <c r="E118" i="5"/>
  <c r="D120" i="5" l="1"/>
  <c r="E119" i="5"/>
  <c r="E120" i="5" l="1"/>
  <c r="D121" i="5"/>
  <c r="D122" i="5" l="1"/>
  <c r="E121" i="5"/>
  <c r="D123" i="5" l="1"/>
  <c r="E122" i="5"/>
  <c r="E123" i="5" l="1"/>
  <c r="D124" i="5"/>
  <c r="E124" i="5" l="1"/>
  <c r="D125" i="5"/>
  <c r="E125" i="5" l="1"/>
  <c r="D126" i="5"/>
  <c r="D127" i="5" l="1"/>
  <c r="E126" i="5"/>
  <c r="D128" i="5" l="1"/>
  <c r="E127" i="5"/>
  <c r="D129" i="5" l="1"/>
  <c r="E128" i="5"/>
  <c r="D130" i="5" l="1"/>
  <c r="E129" i="5"/>
  <c r="D131" i="5" l="1"/>
  <c r="E130" i="5"/>
  <c r="E131" i="5" l="1"/>
  <c r="D132" i="5"/>
  <c r="E132" i="5" l="1"/>
  <c r="D133" i="5"/>
  <c r="E133" i="5" l="1"/>
  <c r="D134" i="5"/>
  <c r="D135" i="5" l="1"/>
  <c r="E134" i="5"/>
  <c r="E135" i="5" l="1"/>
  <c r="D136" i="5"/>
  <c r="D137" i="5" l="1"/>
  <c r="E136" i="5"/>
  <c r="D138" i="5" l="1"/>
  <c r="E137" i="5"/>
  <c r="E138" i="5" l="1"/>
  <c r="D139" i="5"/>
  <c r="D140" i="5" l="1"/>
  <c r="E139" i="5"/>
  <c r="D141" i="5" l="1"/>
  <c r="E140" i="5"/>
  <c r="E141" i="5" l="1"/>
  <c r="D142" i="5"/>
  <c r="D143" i="5" l="1"/>
  <c r="E142" i="5"/>
  <c r="D144" i="5" l="1"/>
  <c r="E143" i="5"/>
  <c r="D145" i="5" l="1"/>
  <c r="E144" i="5"/>
  <c r="D146" i="5" l="1"/>
  <c r="E145" i="5"/>
  <c r="D147" i="5" l="1"/>
  <c r="E146" i="5"/>
  <c r="E147" i="5" l="1"/>
  <c r="D148" i="5"/>
  <c r="D149" i="5" l="1"/>
  <c r="E148" i="5"/>
  <c r="D150" i="5" l="1"/>
  <c r="E149" i="5"/>
  <c r="D151" i="5" l="1"/>
  <c r="E150" i="5"/>
  <c r="D152" i="5" l="1"/>
  <c r="E151" i="5"/>
  <c r="E152" i="5" l="1"/>
  <c r="D153" i="5"/>
  <c r="E153" i="5" l="1"/>
  <c r="D154" i="5"/>
  <c r="D155" i="5" l="1"/>
  <c r="E154" i="5"/>
  <c r="D156" i="5" l="1"/>
  <c r="E155" i="5"/>
  <c r="E156" i="5" l="1"/>
  <c r="D157" i="5"/>
  <c r="E157" i="5" l="1"/>
  <c r="D158" i="5"/>
  <c r="D159" i="5" l="1"/>
  <c r="E158" i="5"/>
  <c r="D160" i="5" l="1"/>
  <c r="E159" i="5"/>
  <c r="E160" i="5" l="1"/>
  <c r="D161" i="5"/>
  <c r="D162" i="5" l="1"/>
  <c r="E161" i="5"/>
  <c r="D163" i="5" l="1"/>
  <c r="E162" i="5"/>
  <c r="D164" i="5" l="1"/>
  <c r="E163" i="5"/>
  <c r="D165" i="5" l="1"/>
  <c r="E164" i="5"/>
  <c r="D166" i="5" l="1"/>
  <c r="E165" i="5"/>
  <c r="D167" i="5" l="1"/>
  <c r="E166" i="5"/>
  <c r="D168" i="5" l="1"/>
  <c r="E167" i="5"/>
  <c r="D169" i="5" l="1"/>
  <c r="E168" i="5"/>
  <c r="E169" i="5" l="1"/>
  <c r="D170" i="5"/>
  <c r="E170" i="5" l="1"/>
  <c r="D171" i="5"/>
  <c r="D172" i="5" l="1"/>
  <c r="E171" i="5"/>
  <c r="D173" i="5" l="1"/>
  <c r="E172" i="5"/>
  <c r="D174" i="5" l="1"/>
  <c r="E173" i="5"/>
  <c r="E174" i="5" l="1"/>
  <c r="D175" i="5"/>
  <c r="D176" i="5" l="1"/>
  <c r="E175" i="5"/>
  <c r="D177" i="5" l="1"/>
  <c r="E176" i="5"/>
  <c r="E177" i="5" l="1"/>
  <c r="D178" i="5"/>
  <c r="D179" i="5" l="1"/>
  <c r="E178" i="5"/>
  <c r="E179" i="5" l="1"/>
  <c r="D180" i="5"/>
  <c r="E180" i="5" l="1"/>
  <c r="D181" i="5"/>
  <c r="E181" i="5" l="1"/>
  <c r="D182" i="5"/>
  <c r="D183" i="5" l="1"/>
  <c r="E182" i="5"/>
  <c r="E183" i="5" l="1"/>
  <c r="D184" i="5"/>
  <c r="D185" i="5" l="1"/>
  <c r="E184" i="5"/>
  <c r="E185" i="5" l="1"/>
  <c r="D186" i="5"/>
  <c r="D187" i="5" l="1"/>
  <c r="E186" i="5"/>
  <c r="E187" i="5" l="1"/>
  <c r="D188" i="5"/>
  <c r="E188" i="5" l="1"/>
  <c r="D189" i="5"/>
  <c r="D190" i="5" l="1"/>
  <c r="E189" i="5"/>
  <c r="D191" i="5" l="1"/>
  <c r="E190" i="5"/>
  <c r="E191" i="5" l="1"/>
  <c r="D192" i="5"/>
  <c r="D193" i="5" l="1"/>
  <c r="E192" i="5"/>
  <c r="D194" i="5" l="1"/>
  <c r="E193" i="5"/>
  <c r="E194" i="5" l="1"/>
  <c r="D195" i="5"/>
  <c r="E195" i="5" l="1"/>
  <c r="D196" i="5"/>
  <c r="D197" i="5" l="1"/>
  <c r="E196" i="5"/>
  <c r="E197" i="5" l="1"/>
  <c r="D198" i="5"/>
  <c r="D199" i="5" l="1"/>
  <c r="E198" i="5"/>
  <c r="E199" i="5" l="1"/>
  <c r="D200" i="5"/>
  <c r="D201" i="5" l="1"/>
  <c r="E200" i="5"/>
  <c r="E201" i="5" l="1"/>
  <c r="D202" i="5"/>
  <c r="E202" i="5" l="1"/>
  <c r="D203" i="5"/>
  <c r="D204" i="5" l="1"/>
  <c r="E203" i="5"/>
  <c r="E204" i="5" l="1"/>
  <c r="D205" i="5"/>
  <c r="D206" i="5" l="1"/>
  <c r="E205" i="5"/>
  <c r="E206" i="5" l="1"/>
  <c r="D207" i="5"/>
  <c r="D208" i="5" l="1"/>
  <c r="E207" i="5"/>
  <c r="E208" i="5" l="1"/>
  <c r="D209" i="5"/>
  <c r="D210" i="5" l="1"/>
  <c r="E209" i="5"/>
  <c r="E210" i="5" l="1"/>
  <c r="D211" i="5"/>
  <c r="E211"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4016246-9CA2-4F94-9D77-F5C0C4769AEC}" keepAlive="1" name="Query - sgg" description="Connection to the 'sgg' query in the workbook." type="5" refreshedVersion="0" background="1">
    <dbPr connection="Provider=Microsoft.Mashup.OleDb.1;Data Source=$Workbook$;Location=sgg;Extended Properties=&quot;&quot;" command="SELECT * FROM [sgg]"/>
  </connection>
</connections>
</file>

<file path=xl/sharedStrings.xml><?xml version="1.0" encoding="utf-8"?>
<sst xmlns="http://schemas.openxmlformats.org/spreadsheetml/2006/main" count="2841" uniqueCount="190">
  <si>
    <t>Product type</t>
  </si>
  <si>
    <t>SKU</t>
  </si>
  <si>
    <t>Price</t>
  </si>
  <si>
    <t>Availability</t>
  </si>
  <si>
    <t>Number of products sold</t>
  </si>
  <si>
    <t>Revenue generated</t>
  </si>
  <si>
    <t>Customer demographics</t>
  </si>
  <si>
    <t>Stock levels</t>
  </si>
  <si>
    <t>Lead times</t>
  </si>
  <si>
    <t>Order quantities</t>
  </si>
  <si>
    <t>Shipping times</t>
  </si>
  <si>
    <t>Shipping carriers</t>
  </si>
  <si>
    <t>Shipping costs</t>
  </si>
  <si>
    <t>Supplier name</t>
  </si>
  <si>
    <t>Location</t>
  </si>
  <si>
    <t>Lead time</t>
  </si>
  <si>
    <t>Production volumes</t>
  </si>
  <si>
    <t>Manufacturing lead time</t>
  </si>
  <si>
    <t>Manufacturing costs</t>
  </si>
  <si>
    <t>Inspection results</t>
  </si>
  <si>
    <t>Defect rates</t>
  </si>
  <si>
    <t>Transportation modes</t>
  </si>
  <si>
    <t>Routes</t>
  </si>
  <si>
    <t>Costs</t>
  </si>
  <si>
    <t>haircare</t>
  </si>
  <si>
    <t>SKU0</t>
  </si>
  <si>
    <t>Non-binary</t>
  </si>
  <si>
    <t>Carrier B</t>
  </si>
  <si>
    <t>Supplier 3</t>
  </si>
  <si>
    <t>Mumbai</t>
  </si>
  <si>
    <t>Pending</t>
  </si>
  <si>
    <t>Road</t>
  </si>
  <si>
    <t>Route B</t>
  </si>
  <si>
    <t>skincare</t>
  </si>
  <si>
    <t>SKU1</t>
  </si>
  <si>
    <t>Female</t>
  </si>
  <si>
    <t>Carrier A</t>
  </si>
  <si>
    <t>SKU2</t>
  </si>
  <si>
    <t>Unknown</t>
  </si>
  <si>
    <t>Supplier 1</t>
  </si>
  <si>
    <t>Air</t>
  </si>
  <si>
    <t>Route C</t>
  </si>
  <si>
    <t>SKU3</t>
  </si>
  <si>
    <t>Carrier C</t>
  </si>
  <si>
    <t>Supplier 5</t>
  </si>
  <si>
    <t>Kolkata</t>
  </si>
  <si>
    <t>Fail</t>
  </si>
  <si>
    <t>Rail</t>
  </si>
  <si>
    <t>Route A</t>
  </si>
  <si>
    <t>SKU4</t>
  </si>
  <si>
    <t>Delhi</t>
  </si>
  <si>
    <t>SKU5</t>
  </si>
  <si>
    <t>Supplier 4</t>
  </si>
  <si>
    <t>Bangalore</t>
  </si>
  <si>
    <t>SKU6</t>
  </si>
  <si>
    <t>Male</t>
  </si>
  <si>
    <t>Sea</t>
  </si>
  <si>
    <t>cosmetics</t>
  </si>
  <si>
    <t>SKU7</t>
  </si>
  <si>
    <t>SKU8</t>
  </si>
  <si>
    <t>SKU9</t>
  </si>
  <si>
    <t>Supplier 2</t>
  </si>
  <si>
    <t>Chennai</t>
  </si>
  <si>
    <t>SKU10</t>
  </si>
  <si>
    <t>Pass</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</si>
  <si>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</si>
  <si>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</si>
  <si>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</si>
  <si>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</si>
  <si>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</si>
  <si>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</si>
  <si>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</si>
  <si>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</si>
  <si>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</si>
  <si>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</si>
  <si>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</si>
  <si>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</si>
  <si>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</si>
  <si>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</si>
  <si>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</si>
  <si>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</si>
  <si>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</si>
  <si>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</si>
  <si>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</si>
  <si>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</si>
  <si>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</si>
  <si>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</si>
  <si>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</si>
  <si>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</si>
  <si>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</si>
  <si>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</si>
  <si>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</si>
  <si>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</si>
  <si>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</si>
  <si>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</si>
  <si>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</si>
  <si>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</si>
  <si>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</si>
  <si>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</si>
  <si>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</si>
  <si>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</si>
  <si>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</si>
  <si>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</si>
  <si>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</si>
  <si>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</si>
  <si>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</si>
  <si>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</si>
  <si>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</si>
  <si>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</si>
  <si>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</si>
  <si>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</si>
  <si>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</si>
  <si>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</si>
  <si>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</si>
  <si>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</si>
  <si>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</si>
  <si>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</si>
  <si>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</si>
  <si>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</si>
  <si>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</si>
  <si>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</si>
  <si>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</si>
  <si>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</si>
  <si>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</si>
  <si>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</si>
  <si>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</si>
  <si>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</si>
  <si>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</si>
  <si>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</si>
  <si>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</si>
  <si>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</si>
  <si>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</si>
  <si>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</si>
  <si>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</si>
  <si>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</si>
  <si>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</si>
  <si>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</si>
  <si>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</si>
  <si>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</si>
  <si>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</si>
  <si>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</si>
  <si>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</si>
  <si>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</si>
  <si>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</si>
  <si>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</si>
  <si>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</si>
  <si>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</si>
  <si>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</si>
  <si>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</si>
  <si>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</si>
  <si>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</si>
  <si>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</si>
  <si>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</si>
  <si>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</si>
  <si>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Lead time category</t>
  </si>
  <si>
    <t>Reliability score</t>
  </si>
  <si>
    <t>Short</t>
  </si>
  <si>
    <t>Medium</t>
  </si>
  <si>
    <t>Long</t>
  </si>
  <si>
    <t>Defect flag</t>
  </si>
  <si>
    <t>Defect rate (clean)</t>
  </si>
  <si>
    <t>Delivery status</t>
  </si>
  <si>
    <t>Stock status</t>
  </si>
  <si>
    <t>Mfg efficiency</t>
  </si>
  <si>
    <t>Revenue tier</t>
  </si>
  <si>
    <t>Revenue by type</t>
  </si>
  <si>
    <t>Avg defect by supplier</t>
  </si>
  <si>
    <t>Orders per carrier</t>
  </si>
  <si>
    <t>SUPPLY CHAIN ANALYSIS SUMMARY</t>
  </si>
  <si>
    <t>Total Revenue</t>
  </si>
  <si>
    <t>Revenue</t>
  </si>
  <si>
    <t>Cumulative %</t>
  </si>
  <si>
    <t>ABC Class</t>
  </si>
  <si>
    <t>Carrier</t>
  </si>
  <si>
    <t>Total orders</t>
  </si>
  <si>
    <t>On time</t>
  </si>
  <si>
    <t>On-time rate %</t>
  </si>
  <si>
    <t>a</t>
  </si>
  <si>
    <t>b</t>
  </si>
  <si>
    <t>c</t>
  </si>
  <si>
    <t>Supplier</t>
  </si>
  <si>
    <t>Avg defect rate</t>
  </si>
  <si>
    <t>Avg lead time</t>
  </si>
  <si>
    <t>Avg shipping cost</t>
  </si>
  <si>
    <t>Score</t>
  </si>
  <si>
    <t>Row Labels</t>
  </si>
  <si>
    <t>Grand Total</t>
  </si>
  <si>
    <t>Sum of Revenue generated</t>
  </si>
  <si>
    <t>Average of Shipping times</t>
  </si>
  <si>
    <t>Average of Defect rates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</si>
</sst>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0.0"/>
  </numFmts>
  <fonts count="2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i/>
      <sz val="11"/>
      <color theme="1"/>
      <name val="Calibri"/>
      <family val="2"/>
      <scheme val="minor"/>
    </font>
    <font>
      <sz val="10"/>
      <color theme="1"/>
      <name val="Arial Unicode MS"/>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64" fontId="0" fillId="0" borderId="0" xfId="0" applyNumberFormat="1"/>
    <xf numFmtId="0" fontId="18" fillId="0" borderId="0" xfId="0" applyFont="1"/>
    <xf numFmtId="0" fontId="19" fillId="0" borderId="0" xfId="0" applyFont="1"/>
    <xf numFmtId="165"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[Supply_Chain_Analysis_Jagajeeth.xlsx]pivot summary!PivotTable1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summary'!$B$1</c:f>
              <c:strCache>
                <c:ptCount val="1"/>
                <c:pt idx="0">
                  <c:v>Total</c:v>
                </c:pt>
              </c:strCache>
            </c:strRef>
          </c:tx>
          <c:spPr>
            <a:solidFill>
              <a:schemeClr val="accent1"/>
            </a:solidFill>
            <a:ln>
              <a:noFill/>
            </a:ln>
            <a:effectLst/>
          </c:spPr>
          <c:invertIfNegative val="0"/>
          <c:cat>
            <c:strRef>
              <c:f>'pivot summary'!$A$2:$A$5</c:f>
              <c:strCache>
                <c:ptCount val="3"/>
                <c:pt idx="0">
                  <c:v>cosmetics</c:v>
                </c:pt>
                <c:pt idx="1">
                  <c:v>haircare</c:v>
                </c:pt>
                <c:pt idx="2">
                  <c:v>skincare</c:v>
                </c:pt>
              </c:strCache>
            </c:strRef>
          </c:cat>
          <c:val>
            <c:numRef>
              <c:f>'pivot summary'!$B$2:$B$5</c:f>
              <c:numCache>
                <c:formatCode>"₹"\ #,##0.00</c:formatCode>
                <c:ptCount val="3"/>
                <c:pt idx="0">
                  <c:v>161521.26599948306</c:v>
                </c:pt>
                <c:pt idx="1">
                  <c:v>174455.39060546222</c:v>
                </c:pt>
                <c:pt idx="2">
                  <c:v>241628.16213306302</c:v>
                </c:pt>
              </c:numCache>
            </c:numRef>
          </c:val>
          <c:extLst>
            <c:ext xmlns:c16="http://schemas.microsoft.com/office/drawing/2014/chart" uri="{C3380CC4-5D6E-409C-BE32-E72D297353CC}">
              <c16:uniqueId val="{00000000-C9B3-48D5-A63B-FCC998E6777E}"/>
            </c:ext>
          </c:extLst>
        </c:ser>
        <c:dLbls>
          <c:showLegendKey val="0"/>
          <c:showVal val="0"/>
          <c:showCatName val="0"/>
          <c:showSerName val="0"/>
          <c:showPercent val="0"/>
          <c:showBubbleSize val="0"/>
        </c:dLbls>
        <c:gapWidth val="219"/>
        <c:overlap val="-27"/>
        <c:axId val="1683961023"/>
        <c:axId val="1683964863"/>
      </c:barChart>
      <c:catAx>
        <c:axId val="1683961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964863"/>
        <c:crosses val="autoZero"/>
        <c:auto val="1"/>
        <c:lblAlgn val="ctr"/>
        <c:lblOffset val="100"/>
        <c:noMultiLvlLbl val="0"/>
      </c:catAx>
      <c:valAx>
        <c:axId val="16839648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961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[Supply_Chain_Analysis_Jagajeeth.xlsx]pivot summary!PivotTable3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summary'!$J$1</c:f>
              <c:strCache>
                <c:ptCount val="1"/>
                <c:pt idx="0">
                  <c:v>Total</c:v>
                </c:pt>
              </c:strCache>
            </c:strRef>
          </c:tx>
          <c:spPr>
            <a:solidFill>
              <a:schemeClr val="accent1"/>
            </a:solidFill>
            <a:ln>
              <a:noFill/>
            </a:ln>
            <a:effectLst/>
          </c:spPr>
          <c:invertIfNegative val="0"/>
          <c:cat>
            <c:strRef>
              <c:f>'pivot summary'!$I$2:$I$5</c:f>
              <c:strCache>
                <c:ptCount val="3"/>
                <c:pt idx="0">
                  <c:v>Carrier A</c:v>
                </c:pt>
                <c:pt idx="1">
                  <c:v>Carrier B</c:v>
                </c:pt>
                <c:pt idx="2">
                  <c:v>Carrier C</c:v>
                </c:pt>
              </c:strCache>
            </c:strRef>
          </c:cat>
          <c:val>
            <c:numRef>
              <c:f>'pivot summary'!$J$2:$J$5</c:f>
              <c:numCache>
                <c:formatCode>General</c:formatCode>
                <c:ptCount val="3"/>
                <c:pt idx="0">
                  <c:v>6.1428571428571432</c:v>
                </c:pt>
                <c:pt idx="1">
                  <c:v>5.3023255813953485</c:v>
                </c:pt>
                <c:pt idx="2">
                  <c:v>6.0344827586206895</c:v>
                </c:pt>
              </c:numCache>
            </c:numRef>
          </c:val>
          <c:extLst>
            <c:ext xmlns:c16="http://schemas.microsoft.com/office/drawing/2014/chart" uri="{C3380CC4-5D6E-409C-BE32-E72D297353CC}">
              <c16:uniqueId val="{00000000-62A2-467C-89E3-6AA760E984D5}"/>
            </c:ext>
          </c:extLst>
        </c:ser>
        <c:dLbls>
          <c:showLegendKey val="0"/>
          <c:showVal val="0"/>
          <c:showCatName val="0"/>
          <c:showSerName val="0"/>
          <c:showPercent val="0"/>
          <c:showBubbleSize val="0"/>
        </c:dLbls>
        <c:gapWidth val="219"/>
        <c:overlap val="-27"/>
        <c:axId val="1341253583"/>
        <c:axId val="1341254063"/>
      </c:barChart>
      <c:catAx>
        <c:axId val="1341253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254063"/>
        <c:crosses val="autoZero"/>
        <c:auto val="1"/>
        <c:lblAlgn val="ctr"/>
        <c:lblOffset val="100"/>
        <c:noMultiLvlLbl val="0"/>
      </c:catAx>
      <c:valAx>
        <c:axId val="1341254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253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[Supply_Chain_Analysis_Jagajeeth.xlsx]pivot summary!PivotTable4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summary'!$R$1</c:f>
              <c:strCache>
                <c:ptCount val="1"/>
                <c:pt idx="0">
                  <c:v>Total</c:v>
                </c:pt>
              </c:strCache>
            </c:strRef>
          </c:tx>
          <c:spPr>
            <a:solidFill>
              <a:schemeClr val="accent1"/>
            </a:solidFill>
            <a:ln>
              <a:noFill/>
            </a:ln>
            <a:effectLst/>
          </c:spPr>
          <c:invertIfNegative val="0"/>
          <c:cat>
            <c:strRef>
              <c:f>'pivot summary'!$Q$2:$Q$7</c:f>
              <c:strCache>
                <c:ptCount val="5"/>
                <c:pt idx="0">
                  <c:v>Supplier 1</c:v>
                </c:pt>
                <c:pt idx="1">
                  <c:v>Supplier 2</c:v>
                </c:pt>
                <c:pt idx="2">
                  <c:v>Supplier 3</c:v>
                </c:pt>
                <c:pt idx="3">
                  <c:v>Supplier 4</c:v>
                </c:pt>
                <c:pt idx="4">
                  <c:v>Supplier 5</c:v>
                </c:pt>
              </c:strCache>
            </c:strRef>
          </c:cat>
          <c:val>
            <c:numRef>
              <c:f>'pivot summary'!$R$2:$R$7</c:f>
              <c:numCache>
                <c:formatCode>General</c:formatCode>
                <c:ptCount val="5"/>
                <c:pt idx="0">
                  <c:v>1.8036297116882485</c:v>
                </c:pt>
                <c:pt idx="1">
                  <c:v>2.3627501450718764</c:v>
                </c:pt>
                <c:pt idx="2">
                  <c:v>2.4657860307644657</c:v>
                </c:pt>
                <c:pt idx="3">
                  <c:v>2.3373974005913354</c:v>
                </c:pt>
                <c:pt idx="4">
                  <c:v>2.6654083441491982</c:v>
                </c:pt>
              </c:numCache>
            </c:numRef>
          </c:val>
          <c:extLst>
            <c:ext xmlns:c16="http://schemas.microsoft.com/office/drawing/2014/chart" uri="{C3380CC4-5D6E-409C-BE32-E72D297353CC}">
              <c16:uniqueId val="{00000000-8F9E-4613-82CD-276C0DFCF4E5}"/>
            </c:ext>
          </c:extLst>
        </c:ser>
        <c:dLbls>
          <c:showLegendKey val="0"/>
          <c:showVal val="0"/>
          <c:showCatName val="0"/>
          <c:showSerName val="0"/>
          <c:showPercent val="0"/>
          <c:showBubbleSize val="0"/>
        </c:dLbls>
        <c:gapWidth val="219"/>
        <c:overlap val="-27"/>
        <c:axId val="1341266063"/>
        <c:axId val="1683984543"/>
      </c:barChart>
      <c:catAx>
        <c:axId val="1341266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984543"/>
        <c:crosses val="autoZero"/>
        <c:auto val="1"/>
        <c:lblAlgn val="ctr"/>
        <c:lblOffset val="100"/>
        <c:noMultiLvlLbl val="0"/>
      </c:catAx>
      <c:valAx>
        <c:axId val="1683984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266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83820</xdr:colOff>
      <xdr:row>5</xdr:row>
      <xdr:rowOff>19050</xdr:rowOff>
    </xdr:from>
    <xdr:to>
      <xdr:col>5</xdr:col>
      <xdr:colOff>312420</xdr:colOff>
      <xdr:row>20</xdr:row>
      <xdr:rowOff>19050</xdr:rowOff>
    </xdr:to>
    <xdr:graphicFrame macro="">
      <xdr:nvGraphicFramePr>
        <xdr:cNvPr id="2" name="Chart 1">
          <a:extLst>
            <a:ext uri="{FF2B5EF4-FFF2-40B4-BE49-F238E27FC236}">
              <a16:creationId xmlns:a16="http://schemas.microsoft.com/office/drawing/2014/main" id="{6DE1564B-6876-125F-058A-E7D7F11695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548640</xdr:colOff>
      <xdr:row>5</xdr:row>
      <xdr:rowOff>140970</xdr:rowOff>
    </xdr:from>
    <xdr:to>
      <xdr:col>13</xdr:col>
      <xdr:colOff>579120</xdr:colOff>
      <xdr:row>19</xdr:row>
      <xdr:rowOff>22860</xdr:rowOff>
    </xdr:to>
    <xdr:graphicFrame macro="">
      <xdr:nvGraphicFramePr>
        <xdr:cNvPr id="4" name="Chart 3">
          <a:extLst>
            <a:ext uri="{FF2B5EF4-FFF2-40B4-BE49-F238E27FC236}">
              <a16:creationId xmlns:a16="http://schemas.microsoft.com/office/drawing/2014/main" id="{CC3E032B-CE25-1C1B-04C4-F125136004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411726</xdr:colOff>
      <xdr:row>7</xdr:row>
      <xdr:rowOff>72513</xdr:rowOff>
    </xdr:from>
    <xdr:to>
      <xdr:col>20</xdr:col>
      <xdr:colOff>6145</xdr:colOff>
      <xdr:row>22</xdr:row>
      <xdr:rowOff>50391</xdr:rowOff>
    </xdr:to>
    <xdr:graphicFrame macro="">
      <xdr:nvGraphicFramePr>
        <xdr:cNvPr id="5" name="Chart 4">
          <a:extLst>
            <a:ext uri="{FF2B5EF4-FFF2-40B4-BE49-F238E27FC236}">
              <a16:creationId xmlns:a16="http://schemas.microsoft.com/office/drawing/2014/main" id="{F97CA054-8D5E-3A2F-9842-F57BAF1F78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130629</xdr:colOff>
      <xdr:row>20</xdr:row>
      <xdr:rowOff>82731</xdr:rowOff>
    </xdr:from>
    <xdr:to>
      <xdr:col>7</xdr:col>
      <xdr:colOff>130629</xdr:colOff>
      <xdr:row>33</xdr:row>
      <xdr:rowOff>143963</xdr:rowOff>
    </xdr:to>
    <mc:AlternateContent xmlns:mc="http://schemas.openxmlformats.org/markup-compatibility/2006" xmlns:a14="http://schemas.microsoft.com/office/drawing/2010/main">
      <mc:Choice Requires="a14">
        <xdr:graphicFrame macro="">
          <xdr:nvGraphicFramePr>
            <xdr:cNvPr id="6" name="Product type">
              <a:extLst>
                <a:ext uri="{FF2B5EF4-FFF2-40B4-BE49-F238E27FC236}">
                  <a16:creationId xmlns:a16="http://schemas.microsoft.com/office/drawing/2014/main" id="{43C8B71E-80DC-9C5C-6351-D9337086909F}"/>
                </a:ext>
              </a:extLst>
            </xdr:cNvPr>
            <xdr:cNvGraphicFramePr/>
          </xdr:nvGraphicFramePr>
          <xdr:xfrm>
            <a:off x="0" y="0"/>
            <a:ext cx="0" cy="0"/>
          </xdr:xfrm>
          <a:graphic>
            <a:graphicData uri="http://schemas.microsoft.com/office/drawing/2010/slicer">
              <sle:slicer xmlns:sle="http://schemas.microsoft.com/office/drawing/2010/slicer" name="Product type"/>
            </a:graphicData>
          </a:graphic>
        </xdr:graphicFrame>
      </mc:Choice>
      <mc:Fallback xmlns="">
        <xdr:sp macro="" textlink="">
          <xdr:nvSpPr>
            <xdr:cNvPr id="0" name=""/>
            <xdr:cNvSpPr>
              <a:spLocks noTextEdit="1"/>
            </xdr:cNvSpPr>
          </xdr:nvSpPr>
          <xdr:spPr>
            <a:xfrm>
              <a:off x="4038600" y="3783874"/>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392975</xdr:colOff>
      <xdr:row>20</xdr:row>
      <xdr:rowOff>105591</xdr:rowOff>
    </xdr:from>
    <xdr:to>
      <xdr:col>9</xdr:col>
      <xdr:colOff>654232</xdr:colOff>
      <xdr:row>33</xdr:row>
      <xdr:rowOff>166823</xdr:rowOff>
    </xdr:to>
    <mc:AlternateContent xmlns:mc="http://schemas.openxmlformats.org/markup-compatibility/2006" xmlns:a14="http://schemas.microsoft.com/office/drawing/2010/main">
      <mc:Choice Requires="a14">
        <xdr:graphicFrame macro="">
          <xdr:nvGraphicFramePr>
            <xdr:cNvPr id="7" name="Shipping carriers">
              <a:extLst>
                <a:ext uri="{FF2B5EF4-FFF2-40B4-BE49-F238E27FC236}">
                  <a16:creationId xmlns:a16="http://schemas.microsoft.com/office/drawing/2014/main" id="{CC096C0A-6D9A-A2E7-8D23-A7AC5374FBEB}"/>
                </a:ext>
              </a:extLst>
            </xdr:cNvPr>
            <xdr:cNvGraphicFramePr/>
          </xdr:nvGraphicFramePr>
          <xdr:xfrm>
            <a:off x="0" y="0"/>
            <a:ext cx="0" cy="0"/>
          </xdr:xfrm>
          <a:graphic>
            <a:graphicData uri="http://schemas.microsoft.com/office/drawing/2010/slicer">
              <sle:slicer xmlns:sle="http://schemas.microsoft.com/office/drawing/2010/slicer" name="Shipping carriers"/>
            </a:graphicData>
          </a:graphic>
        </xdr:graphicFrame>
      </mc:Choice>
      <mc:Fallback xmlns="">
        <xdr:sp macro="" textlink="">
          <xdr:nvSpPr>
            <xdr:cNvPr id="0" name=""/>
            <xdr:cNvSpPr>
              <a:spLocks noTextEdit="1"/>
            </xdr:cNvSpPr>
          </xdr:nvSpPr>
          <xdr:spPr>
            <a:xfrm>
              <a:off x="6129746" y="3806734"/>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1036320</xdr:colOff>
      <xdr:row>20</xdr:row>
      <xdr:rowOff>95794</xdr:rowOff>
    </xdr:from>
    <xdr:to>
      <xdr:col>11</xdr:col>
      <xdr:colOff>600891</xdr:colOff>
      <xdr:row>33</xdr:row>
      <xdr:rowOff>157026</xdr:rowOff>
    </xdr:to>
    <mc:AlternateContent xmlns:mc="http://schemas.openxmlformats.org/markup-compatibility/2006" xmlns:a14="http://schemas.microsoft.com/office/drawing/2010/main">
      <mc:Choice Requires="a14">
        <xdr:graphicFrame macro="">
          <xdr:nvGraphicFramePr>
            <xdr:cNvPr id="8" name="Supplier name">
              <a:extLst>
                <a:ext uri="{FF2B5EF4-FFF2-40B4-BE49-F238E27FC236}">
                  <a16:creationId xmlns:a16="http://schemas.microsoft.com/office/drawing/2014/main" id="{A9C20494-49C3-5F96-9B4B-D2AC36CA7CF6}"/>
                </a:ext>
              </a:extLst>
            </xdr:cNvPr>
            <xdr:cNvGraphicFramePr/>
          </xdr:nvGraphicFramePr>
          <xdr:xfrm>
            <a:off x="0" y="0"/>
            <a:ext cx="0" cy="0"/>
          </xdr:xfrm>
          <a:graphic>
            <a:graphicData uri="http://schemas.microsoft.com/office/drawing/2010/slicer">
              <sle:slicer xmlns:sle="http://schemas.microsoft.com/office/drawing/2010/slicer" name="Supplier name"/>
            </a:graphicData>
          </a:graphic>
        </xdr:graphicFrame>
      </mc:Choice>
      <mc:Fallback xmlns="">
        <xdr:sp macro="" textlink="">
          <xdr:nvSpPr>
            <xdr:cNvPr id="0" name=""/>
            <xdr:cNvSpPr>
              <a:spLocks noTextEdit="1"/>
            </xdr:cNvSpPr>
          </xdr:nvSpPr>
          <xdr:spPr>
            <a:xfrm>
              <a:off x="8340634" y="3796937"/>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gajeeth" refreshedDate="46103.772979398149" createdVersion="8" refreshedVersion="8" minRefreshableVersion="3" recordCount="100" xr:uid="{88711347-AAC5-40C7-AD24-730C08A1AC4C}">
  <cacheSource type="worksheet">
    <worksheetSource ref="A1:X101" sheet="clean data"/>
  </cacheSource>
  <cacheFields count="24">
    <cacheField name="Product type" numFmtId="0">
      <sharedItems count="3">
        <s v="haircare"/>
        <s v="skincare"/>
        <s v="cosmetics"/>
      </sharedItems>
    </cacheField>
    <cacheField name="SKU" numFmtId="0">
      <sharedItems/>
    </cacheField>
    <cacheField name="Price" numFmtId="164">
      <sharedItems containsSemiMixedTypes="0" containsString="0" containsNumber="1" minValue="1.6999760138659299" maxValue="99.171328638624104"/>
    </cacheField>
    <cacheField name="Availability" numFmtId="0">
      <sharedItems containsSemiMixedTypes="0" containsString="0" containsNumber="1" containsInteger="1" minValue="1" maxValue="100"/>
    </cacheField>
    <cacheField name="Number of products sold" numFmtId="0">
      <sharedItems containsSemiMixedTypes="0" containsString="0" containsNumber="1" containsInteger="1" minValue="8" maxValue="996"/>
    </cacheField>
    <cacheField name="Revenue generated" numFmtId="164">
      <sharedItems containsSemiMixedTypes="0" containsString="0" containsNumber="1" minValue="1061.6185230132801" maxValue="9866.4654579796897"/>
    </cacheField>
    <cacheField name="Customer demographics" numFmtId="0">
      <sharedItems/>
    </cacheField>
    <cacheField name="Stock levels" numFmtId="0">
      <sharedItems containsSemiMixedTypes="0" containsString="0" containsNumber="1" containsInteger="1" minValue="0" maxValue="100"/>
    </cacheField>
    <cacheField name="Lead times" numFmtId="0">
      <sharedItems containsSemiMixedTypes="0" containsString="0" containsNumber="1" containsInteger="1" minValue="1" maxValue="30"/>
    </cacheField>
    <cacheField name="Order quantities" numFmtId="0">
      <sharedItems containsSemiMixedTypes="0" containsString="0" containsNumber="1" containsInteger="1" minValue="1" maxValue="96"/>
    </cacheField>
    <cacheField name="Shipping times" numFmtId="0">
      <sharedItems containsSemiMixedTypes="0" containsString="0" containsNumber="1" containsInteger="1" minValue="1" maxValue="10"/>
    </cacheField>
    <cacheField name="Shipping carriers" numFmtId="0">
      <sharedItems count="3">
        <s v="Carrier B"/>
        <s v="Carrier A"/>
        <s v="Carrier C"/>
      </sharedItems>
    </cacheField>
    <cacheField name="Shipping costs" numFmtId="0">
      <sharedItems containsSemiMixedTypes="0" containsString="0" containsNumber="1" minValue="1.0134865660958901" maxValue="9.9298162452772498"/>
    </cacheField>
    <cacheField name="Supplier name" numFmtId="0">
      <sharedItems count="5">
        <s v="Supplier 3"/>
        <s v="Supplier 1"/>
        <s v="Supplier 5"/>
        <s v="Supplier 4"/>
        <s v="Supplier 2"/>
      </sharedItems>
    </cacheField>
    <cacheField name="Location" numFmtId="0">
      <sharedItems/>
    </cacheField>
    <cacheField name="Lead time" numFmtId="0">
      <sharedItems containsSemiMixedTypes="0" containsString="0" containsNumber="1" containsInteger="1" minValue="1" maxValue="30"/>
    </cacheField>
    <cacheField name="Production volumes" numFmtId="0">
      <sharedItems containsSemiMixedTypes="0" containsString="0" containsNumber="1" containsInteger="1" minValue="104" maxValue="985"/>
    </cacheField>
    <cacheField name="Manufacturing lead time" numFmtId="0">
      <sharedItems containsSemiMixedTypes="0" containsString="0" containsNumber="1" containsInteger="1" minValue="1" maxValue="30"/>
    </cacheField>
    <cacheField name="Manufacturing costs" numFmtId="0">
      <sharedItems containsSemiMixedTypes="0" containsString="0" containsNumber="1" minValue="1.0850685695870601" maxValue="99.466108603599096"/>
    </cacheField>
    <cacheField name="Inspection results" numFmtId="0">
      <sharedItems/>
    </cacheField>
    <cacheField name="Defect rates" numFmtId="0">
      <sharedItems containsSemiMixedTypes="0" containsString="0" containsNumber="1" minValue="1.8607567631014899E-2" maxValue="4.9392552886209398"/>
    </cacheField>
    <cacheField name="Transportation modes" numFmtId="0">
      <sharedItems/>
    </cacheField>
    <cacheField name="Routes" numFmtId="0">
      <sharedItems/>
    </cacheField>
    <cacheField name="Costs" numFmtId="0">
      <sharedItems containsSemiMixedTypes="0" containsString="0" containsNumber="1" minValue="103.916247960704" maxValue="997.41345013319403"/>
    </cacheField>
  </cacheFields>
  <extLst>
    <ext xmlns:x14="http://schemas.microsoft.com/office/spreadsheetml/2009/9/main" uri="{725AE2AE-9491-48be-B2B4-4EB974FC3084}">
      <x14:pivotCacheDefinition pivotCacheId="18522144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SKU0"/>
    <n v="69.808005542115694"/>
    <n v="55"/>
    <n v="802"/>
    <n v="8661.9967923923796"/>
    <s v="Non-binary"/>
    <n v="58"/>
    <n v="7"/>
    <n v="96"/>
    <n v="4"/>
    <x v="0"/>
    <n v="2.9565721394308002"/>
    <x v="0"/>
    <s v="Mumbai"/>
    <n v="29"/>
    <n v="215"/>
    <n v="29"/>
    <n v="46.279879240508301"/>
    <s v="Pending"/>
    <n v="0.226410360849925"/>
    <s v="Road"/>
    <s v="Route B"/>
    <n v="187.75207545920301"/>
  </r>
  <r>
    <x v="1"/>
    <s v="SKU1"/>
    <n v="14.8435232750843"/>
    <n v="95"/>
    <n v="736"/>
    <n v="7460.9000654458396"/>
    <s v="Female"/>
    <n v="53"/>
    <n v="30"/>
    <n v="37"/>
    <n v="2"/>
    <x v="1"/>
    <n v="9.7165747714313095"/>
    <x v="0"/>
    <s v="Mumbai"/>
    <n v="23"/>
    <n v="517"/>
    <n v="30"/>
    <n v="33.616768953730002"/>
    <s v="Pending"/>
    <n v="4.8540680263886999"/>
    <s v="Road"/>
    <s v="Route B"/>
    <n v="503.06557914966902"/>
  </r>
  <r>
    <x v="0"/>
    <s v="SKU2"/>
    <n v="11.319683293090501"/>
    <n v="34"/>
    <n v="8"/>
    <n v="9577.7496258687297"/>
    <s v="Unknown"/>
    <n v="1"/>
    <n v="10"/>
    <n v="88"/>
    <n v="2"/>
    <x v="0"/>
    <n v="8.0544792617321495"/>
    <x v="1"/>
    <s v="Mumbai"/>
    <n v="12"/>
    <n v="971"/>
    <n v="27"/>
    <n v="30.6880193482842"/>
    <s v="Pending"/>
    <n v="4.5805926191992201"/>
    <s v="Air"/>
    <s v="Route C"/>
    <n v="141.920281771519"/>
  </r>
  <r>
    <x v="1"/>
    <s v="SKU3"/>
    <n v="61.1633430164377"/>
    <n v="68"/>
    <n v="83"/>
    <n v="7766.8364256852301"/>
    <s v="Non-binary"/>
    <n v="23"/>
    <n v="13"/>
    <n v="59"/>
    <n v="6"/>
    <x v="2"/>
    <n v="1.7295685635434199"/>
    <x v="2"/>
    <s v="Kolkata"/>
    <n v="24"/>
    <n v="937"/>
    <n v="18"/>
    <n v="35.624741397125"/>
    <s v="Fail"/>
    <n v="4.7466486206477496"/>
    <s v="Rail"/>
    <s v="Route A"/>
    <n v="254.776159219286"/>
  </r>
  <r>
    <x v="1"/>
    <s v="SKU4"/>
    <n v="4.8054960363458896"/>
    <n v="26"/>
    <n v="871"/>
    <n v="2686.50515156744"/>
    <s v="Non-binary"/>
    <n v="5"/>
    <n v="3"/>
    <n v="56"/>
    <n v="8"/>
    <x v="1"/>
    <n v="3.8905479158706702"/>
    <x v="1"/>
    <s v="Delhi"/>
    <n v="5"/>
    <n v="414"/>
    <n v="3"/>
    <n v="92.065160598712794"/>
    <s v="Fail"/>
    <n v="3.1455795228330001"/>
    <s v="Air"/>
    <s v="Route A"/>
    <n v="923.44063171192204"/>
  </r>
  <r>
    <x v="0"/>
    <s v="SKU5"/>
    <n v="1.6999760138659299"/>
    <n v="87"/>
    <n v="147"/>
    <n v="2828.3487459757498"/>
    <s v="Non-binary"/>
    <n v="90"/>
    <n v="27"/>
    <n v="66"/>
    <n v="3"/>
    <x v="0"/>
    <n v="4.4440988643822896"/>
    <x v="3"/>
    <s v="Bangalore"/>
    <n v="10"/>
    <n v="104"/>
    <n v="17"/>
    <n v="56.766475557431797"/>
    <s v="Fail"/>
    <n v="2.7791935115711599"/>
    <s v="Road"/>
    <s v="Route A"/>
    <n v="235.461236735537"/>
  </r>
  <r>
    <x v="1"/>
    <s v="SKU6"/>
    <n v="4.0783328631079403"/>
    <n v="48"/>
    <n v="65"/>
    <n v="7823.4765595317303"/>
    <s v="Male"/>
    <n v="11"/>
    <n v="15"/>
    <n v="58"/>
    <n v="8"/>
    <x v="2"/>
    <n v="3.8807633029519999"/>
    <x v="0"/>
    <s v="Kolkata"/>
    <n v="14"/>
    <n v="314"/>
    <n v="24"/>
    <n v="1.0850685695870601"/>
    <s v="Pending"/>
    <n v="1.0009106193041299"/>
    <s v="Sea"/>
    <s v="Route A"/>
    <n v="134.36909686103101"/>
  </r>
  <r>
    <x v="2"/>
    <s v="SKU7"/>
    <n v="42.958384382459997"/>
    <n v="59"/>
    <n v="426"/>
    <n v="8496.1038130898305"/>
    <s v="Female"/>
    <n v="93"/>
    <n v="17"/>
    <n v="11"/>
    <n v="1"/>
    <x v="0"/>
    <n v="2.3483387844177801"/>
    <x v="3"/>
    <s v="Bangalore"/>
    <n v="22"/>
    <n v="564"/>
    <n v="1"/>
    <n v="99.466108603599096"/>
    <s v="Fail"/>
    <n v="0.39817718685065001"/>
    <s v="Road"/>
    <s v="Route C"/>
    <n v="802.05631181755803"/>
  </r>
  <r>
    <x v="2"/>
    <s v="SKU8"/>
    <n v="68.717596748527299"/>
    <n v="78"/>
    <n v="150"/>
    <n v="7517.3632106311197"/>
    <s v="Female"/>
    <n v="5"/>
    <n v="10"/>
    <n v="15"/>
    <n v="7"/>
    <x v="2"/>
    <n v="3.4047338570830199"/>
    <x v="3"/>
    <s v="Mumbai"/>
    <n v="13"/>
    <n v="769"/>
    <n v="8"/>
    <n v="11.423027139565599"/>
    <s v="Pending"/>
    <n v="2.7098626911099601"/>
    <s v="Sea"/>
    <s v="Route B"/>
    <n v="505.55713422546398"/>
  </r>
  <r>
    <x v="1"/>
    <s v="SKU9"/>
    <n v="64.0157329412785"/>
    <n v="35"/>
    <n v="980"/>
    <n v="4971.1459875855498"/>
    <s v="Unknown"/>
    <n v="14"/>
    <n v="27"/>
    <n v="83"/>
    <n v="1"/>
    <x v="1"/>
    <n v="7.1666452910482104"/>
    <x v="4"/>
    <s v="Chennai"/>
    <n v="29"/>
    <n v="963"/>
    <n v="23"/>
    <n v="47.957601634951502"/>
    <s v="Pending"/>
    <n v="3.8446144787675798"/>
    <s v="Rail"/>
    <s v="Route B"/>
    <n v="995.92946149864099"/>
  </r>
  <r>
    <x v="1"/>
    <s v="SKU10"/>
    <n v="15.707795681912099"/>
    <n v="11"/>
    <n v="996"/>
    <n v="2330.9658020919401"/>
    <s v="Non-binary"/>
    <n v="51"/>
    <n v="13"/>
    <n v="80"/>
    <n v="2"/>
    <x v="2"/>
    <n v="8.6732112112786108"/>
    <x v="2"/>
    <s v="Kolkata"/>
    <n v="18"/>
    <n v="830"/>
    <n v="5"/>
    <n v="96.527352785310896"/>
    <s v="Pass"/>
    <n v="1.72731392835594"/>
    <s v="Road"/>
    <s v="Route B"/>
    <n v="806.10317770292295"/>
  </r>
  <r>
    <x v="1"/>
    <s v="SKU11"/>
    <n v="90.635459982288594"/>
    <n v="95"/>
    <n v="960"/>
    <n v="6099.9441155814502"/>
    <s v="Female"/>
    <n v="46"/>
    <n v="23"/>
    <n v="60"/>
    <n v="1"/>
    <x v="1"/>
    <n v="4.5239431243166601"/>
    <x v="4"/>
    <s v="Kolkata"/>
    <n v="28"/>
    <n v="362"/>
    <n v="11"/>
    <n v="27.5923630866636"/>
    <s v="Pending"/>
    <n v="2.1169821372994301E-2"/>
    <s v="Air"/>
    <s v="Route A"/>
    <n v="126.72303340940699"/>
  </r>
  <r>
    <x v="0"/>
    <s v="SKU12"/>
    <n v="71.213389075359999"/>
    <n v="41"/>
    <n v="336"/>
    <n v="2873.74144602144"/>
    <s v="Unknown"/>
    <n v="100"/>
    <n v="30"/>
    <n v="85"/>
    <n v="4"/>
    <x v="1"/>
    <n v="1.32527401018452"/>
    <x v="3"/>
    <s v="Kolkata"/>
    <n v="3"/>
    <n v="563"/>
    <n v="3"/>
    <n v="32.321286213424003"/>
    <s v="Fail"/>
    <n v="2.1612537475559099"/>
    <s v="Road"/>
    <s v="Route B"/>
    <n v="402.96878907376998"/>
  </r>
  <r>
    <x v="1"/>
    <s v="SKU13"/>
    <n v="16.160393317379899"/>
    <n v="5"/>
    <n v="249"/>
    <n v="4052.7384162378598"/>
    <s v="Male"/>
    <n v="80"/>
    <n v="8"/>
    <n v="48"/>
    <n v="9"/>
    <x v="1"/>
    <n v="9.5372830611083295"/>
    <x v="2"/>
    <s v="Bangalore"/>
    <n v="23"/>
    <n v="173"/>
    <n v="10"/>
    <n v="97.829050110173199"/>
    <s v="Pending"/>
    <n v="1.63107423007153"/>
    <s v="Road"/>
    <s v="Route B"/>
    <n v="547.24100516096803"/>
  </r>
  <r>
    <x v="1"/>
    <s v="SKU14"/>
    <n v="99.171328638624104"/>
    <n v="26"/>
    <n v="562"/>
    <n v="8653.5709264697998"/>
    <s v="Non-binary"/>
    <n v="54"/>
    <n v="29"/>
    <n v="78"/>
    <n v="5"/>
    <x v="0"/>
    <n v="2.0397701894493299"/>
    <x v="1"/>
    <s v="Kolkata"/>
    <n v="25"/>
    <n v="558"/>
    <n v="14"/>
    <n v="5.7914366298629796"/>
    <s v="Pending"/>
    <n v="0.100682851565093"/>
    <s v="Air"/>
    <s v="Route B"/>
    <n v="929.23528996088896"/>
  </r>
  <r>
    <x v="1"/>
    <s v="SKU15"/>
    <n v="36.989244928626903"/>
    <n v="94"/>
    <n v="469"/>
    <n v="5442.0867853976697"/>
    <s v="Non-binary"/>
    <n v="9"/>
    <n v="8"/>
    <n v="69"/>
    <n v="7"/>
    <x v="0"/>
    <n v="2.4220397232752"/>
    <x v="1"/>
    <s v="Bangalore"/>
    <n v="14"/>
    <n v="580"/>
    <n v="7"/>
    <n v="97.121281751474299"/>
    <s v="Pass"/>
    <n v="2.2644057611985402"/>
    <s v="Sea"/>
    <s v="Route B"/>
    <n v="127.861800001625"/>
  </r>
  <r>
    <x v="1"/>
    <s v="SKU16"/>
    <n v="7.5471721097912701"/>
    <n v="74"/>
    <n v="280"/>
    <n v="6453.7979681762799"/>
    <s v="Female"/>
    <n v="2"/>
    <n v="5"/>
    <n v="78"/>
    <n v="1"/>
    <x v="0"/>
    <n v="4.1913245857054999"/>
    <x v="1"/>
    <s v="Bangalore"/>
    <n v="3"/>
    <n v="399"/>
    <n v="21"/>
    <n v="77.106342497849994"/>
    <s v="Pass"/>
    <n v="1.01256308925804"/>
    <s v="Air"/>
    <s v="Route A"/>
    <n v="865.52577977123997"/>
  </r>
  <r>
    <x v="2"/>
    <s v="SKU17"/>
    <n v="81.462534369237005"/>
    <n v="82"/>
    <n v="126"/>
    <n v="2629.39643484526"/>
    <s v="Female"/>
    <n v="45"/>
    <n v="17"/>
    <n v="85"/>
    <n v="9"/>
    <x v="2"/>
    <n v="3.5854189582323399"/>
    <x v="1"/>
    <s v="Chennai"/>
    <n v="7"/>
    <n v="453"/>
    <n v="16"/>
    <n v="47.679680368355299"/>
    <s v="Fail"/>
    <n v="0.102020754918176"/>
    <s v="Air"/>
    <s v="Route C"/>
    <n v="670.93439079241"/>
  </r>
  <r>
    <x v="0"/>
    <s v="SKU18"/>
    <n v="36.4436277704609"/>
    <n v="23"/>
    <n v="620"/>
    <n v="9364.6735050761708"/>
    <s v="Unknown"/>
    <n v="10"/>
    <n v="10"/>
    <n v="46"/>
    <n v="8"/>
    <x v="2"/>
    <n v="4.3392247141107001"/>
    <x v="4"/>
    <s v="Kolkata"/>
    <n v="18"/>
    <n v="374"/>
    <n v="17"/>
    <n v="27.107980854843898"/>
    <s v="Pending"/>
    <n v="2.2319391107292601"/>
    <s v="Sea"/>
    <s v="Route A"/>
    <n v="593.48025872065102"/>
  </r>
  <r>
    <x v="1"/>
    <s v="SKU19"/>
    <n v="51.123870087964697"/>
    <n v="100"/>
    <n v="187"/>
    <n v="2553.4955849912099"/>
    <s v="Unknown"/>
    <n v="48"/>
    <n v="11"/>
    <n v="94"/>
    <n v="3"/>
    <x v="1"/>
    <n v="4.7426358828418698"/>
    <x v="3"/>
    <s v="Chennai"/>
    <n v="20"/>
    <n v="694"/>
    <n v="16"/>
    <n v="82.373320587990193"/>
    <s v="Fail"/>
    <n v="3.64645086541702"/>
    <s v="Road"/>
    <s v="Route C"/>
    <n v="477.30763109090299"/>
  </r>
  <r>
    <x v="1"/>
    <s v="SKU20"/>
    <n v="96.341072439963298"/>
    <n v="22"/>
    <n v="320"/>
    <n v="8128.0276968511898"/>
    <s v="Unknown"/>
    <n v="27"/>
    <n v="12"/>
    <n v="68"/>
    <n v="6"/>
    <x v="1"/>
    <n v="8.8783346509268402"/>
    <x v="1"/>
    <s v="Chennai"/>
    <n v="29"/>
    <n v="309"/>
    <n v="6"/>
    <n v="65.686259608488598"/>
    <s v="Pass"/>
    <n v="4.2314165735345304"/>
    <s v="Air"/>
    <s v="Route B"/>
    <n v="493.871215316205"/>
  </r>
  <r>
    <x v="2"/>
    <s v="SKU21"/>
    <n v="84.893868984950799"/>
    <n v="60"/>
    <n v="601"/>
    <n v="7087.0526963574302"/>
    <s v="Unknown"/>
    <n v="69"/>
    <n v="25"/>
    <n v="7"/>
    <n v="6"/>
    <x v="0"/>
    <n v="6.0378837692182898"/>
    <x v="2"/>
    <s v="Chennai"/>
    <n v="19"/>
    <n v="791"/>
    <n v="4"/>
    <n v="61.735728954160898"/>
    <s v="Pending"/>
    <n v="1.8607567631014899E-2"/>
    <s v="Air"/>
    <s v="Route C"/>
    <n v="523.36091472015801"/>
  </r>
  <r>
    <x v="0"/>
    <s v="SKU22"/>
    <n v="27.679780886501899"/>
    <n v="55"/>
    <n v="884"/>
    <n v="2390.8078665561702"/>
    <s v="Unknown"/>
    <n v="71"/>
    <n v="1"/>
    <n v="63"/>
    <n v="10"/>
    <x v="1"/>
    <n v="9.5676489209230393"/>
    <x v="3"/>
    <s v="Kolkata"/>
    <n v="22"/>
    <n v="780"/>
    <n v="28"/>
    <n v="50.120839612977299"/>
    <s v="Fail"/>
    <n v="2.5912754732111098"/>
    <s v="Rail"/>
    <s v="Route C"/>
    <n v="205.57199582694699"/>
  </r>
  <r>
    <x v="2"/>
    <s v="SKU23"/>
    <n v="4.3243411858641601"/>
    <n v="30"/>
    <n v="391"/>
    <n v="8858.3675710114803"/>
    <s v="Unknown"/>
    <n v="84"/>
    <n v="5"/>
    <n v="29"/>
    <n v="7"/>
    <x v="1"/>
    <n v="2.92485760114555"/>
    <x v="2"/>
    <s v="Kolkata"/>
    <n v="11"/>
    <n v="568"/>
    <n v="29"/>
    <n v="98.6099572427038"/>
    <s v="Pending"/>
    <n v="1.3422915627227301"/>
    <s v="Rail"/>
    <s v="Route A"/>
    <n v="196.329446112412"/>
  </r>
  <r>
    <x v="0"/>
    <s v="SKU24"/>
    <n v="4.1563083593111001"/>
    <n v="32"/>
    <n v="209"/>
    <n v="9049.0778609398894"/>
    <s v="Male"/>
    <n v="4"/>
    <n v="26"/>
    <n v="2"/>
    <n v="8"/>
    <x v="2"/>
    <n v="9.7412916892843597"/>
    <x v="4"/>
    <s v="Bangalore"/>
    <n v="28"/>
    <n v="447"/>
    <n v="3"/>
    <n v="40.382359702924802"/>
    <s v="Pending"/>
    <n v="3.69131029262872"/>
    <s v="Air"/>
    <s v="Route A"/>
    <n v="758.72477260293795"/>
  </r>
  <r>
    <x v="0"/>
    <s v="SKU25"/>
    <n v="39.629343985092603"/>
    <n v="73"/>
    <n v="142"/>
    <n v="2174.7770543506499"/>
    <s v="Male"/>
    <n v="82"/>
    <n v="11"/>
    <n v="52"/>
    <n v="3"/>
    <x v="2"/>
    <n v="2.2310736812817198"/>
    <x v="3"/>
    <s v="Kolkata"/>
    <n v="19"/>
    <n v="934"/>
    <n v="23"/>
    <n v="78.280383118415301"/>
    <s v="Pending"/>
    <n v="3.79723121711418"/>
    <s v="Road"/>
    <s v="Route B"/>
    <n v="458.53594573920901"/>
  </r>
  <r>
    <x v="0"/>
    <s v="SKU26"/>
    <n v="97.446946617892806"/>
    <n v="9"/>
    <n v="353"/>
    <n v="3716.49332589403"/>
    <s v="Male"/>
    <n v="59"/>
    <n v="16"/>
    <n v="48"/>
    <n v="4"/>
    <x v="0"/>
    <n v="6.5075486210785503"/>
    <x v="4"/>
    <s v="Bangalore"/>
    <n v="26"/>
    <n v="171"/>
    <n v="4"/>
    <n v="15.972229757181699"/>
    <s v="Pass"/>
    <n v="2.1193197367249201"/>
    <s v="Rail"/>
    <s v="Route A"/>
    <n v="617.86691645837698"/>
  </r>
  <r>
    <x v="2"/>
    <s v="SKU27"/>
    <n v="92.557360812401996"/>
    <n v="42"/>
    <n v="352"/>
    <n v="2686.4572235759802"/>
    <s v="Unknown"/>
    <n v="47"/>
    <n v="9"/>
    <n v="62"/>
    <n v="8"/>
    <x v="2"/>
    <n v="7.4067509529980704"/>
    <x v="2"/>
    <s v="Mumbai"/>
    <n v="25"/>
    <n v="291"/>
    <n v="4"/>
    <n v="10.5282450700421"/>
    <s v="Fail"/>
    <n v="2.8646678378833701"/>
    <s v="Sea"/>
    <s v="Route B"/>
    <n v="762.45918215568304"/>
  </r>
  <r>
    <x v="2"/>
    <s v="SKU28"/>
    <n v="2.3972747055971402"/>
    <n v="12"/>
    <n v="394"/>
    <n v="6117.3246150839896"/>
    <s v="Female"/>
    <n v="48"/>
    <n v="15"/>
    <n v="24"/>
    <n v="4"/>
    <x v="0"/>
    <n v="9.8981405080692202"/>
    <x v="1"/>
    <s v="Mumbai"/>
    <n v="13"/>
    <n v="171"/>
    <n v="7"/>
    <n v="59.429381810691503"/>
    <s v="Fail"/>
    <n v="0.81575707929567198"/>
    <s v="Air"/>
    <s v="Route A"/>
    <n v="123.437027511827"/>
  </r>
  <r>
    <x v="2"/>
    <s v="SKU29"/>
    <n v="63.447559185207297"/>
    <n v="3"/>
    <n v="253"/>
    <n v="8318.9031946171708"/>
    <s v="Female"/>
    <n v="45"/>
    <n v="5"/>
    <n v="67"/>
    <n v="7"/>
    <x v="0"/>
    <n v="8.1009731453970293"/>
    <x v="1"/>
    <s v="Kolkata"/>
    <n v="16"/>
    <n v="329"/>
    <n v="7"/>
    <n v="39.292875586065698"/>
    <s v="Pass"/>
    <n v="3.8780989365884802"/>
    <s v="Road"/>
    <s v="Route B"/>
    <n v="764.93537594070801"/>
  </r>
  <r>
    <x v="0"/>
    <s v="SKU30"/>
    <n v="8.0228592105263896"/>
    <n v="10"/>
    <n v="327"/>
    <n v="2766.3423668660798"/>
    <s v="Male"/>
    <n v="60"/>
    <n v="26"/>
    <n v="35"/>
    <n v="7"/>
    <x v="0"/>
    <n v="8.9545283153180097"/>
    <x v="3"/>
    <s v="Kolkata"/>
    <n v="27"/>
    <n v="806"/>
    <n v="30"/>
    <n v="51.634893400109299"/>
    <s v="Pending"/>
    <n v="0.96539470535239302"/>
    <s v="Road"/>
    <s v="Route C"/>
    <n v="880.08098824716103"/>
  </r>
  <r>
    <x v="1"/>
    <s v="SKU31"/>
    <n v="50.847393051718697"/>
    <n v="28"/>
    <n v="168"/>
    <n v="9655.1351027193905"/>
    <s v="Male"/>
    <n v="6"/>
    <n v="17"/>
    <n v="44"/>
    <n v="4"/>
    <x v="0"/>
    <n v="2.6796609649813998"/>
    <x v="0"/>
    <s v="Chennai"/>
    <n v="24"/>
    <n v="461"/>
    <n v="8"/>
    <n v="60.251145661598002"/>
    <s v="Pending"/>
    <n v="2.9890000066550702"/>
    <s v="Rail"/>
    <s v="Route C"/>
    <n v="609.379206618426"/>
  </r>
  <r>
    <x v="1"/>
    <s v="SKU32"/>
    <n v="79.209936015656695"/>
    <n v="43"/>
    <n v="781"/>
    <n v="9571.5504873278096"/>
    <s v="Unknown"/>
    <n v="89"/>
    <n v="13"/>
    <n v="64"/>
    <n v="4"/>
    <x v="2"/>
    <n v="6.5991049012385803"/>
    <x v="0"/>
    <s v="Kolkata"/>
    <n v="30"/>
    <n v="737"/>
    <n v="7"/>
    <n v="29.6924671537497"/>
    <s v="Pass"/>
    <n v="1.94603611938611"/>
    <s v="Road"/>
    <s v="Route A"/>
    <n v="761.17390951487698"/>
  </r>
  <r>
    <x v="2"/>
    <s v="SKU33"/>
    <n v="64.795435000155607"/>
    <n v="63"/>
    <n v="616"/>
    <n v="5149.9983504080301"/>
    <s v="Non-binary"/>
    <n v="4"/>
    <n v="17"/>
    <n v="95"/>
    <n v="9"/>
    <x v="2"/>
    <n v="4.85827050343664"/>
    <x v="2"/>
    <s v="Chennai"/>
    <n v="1"/>
    <n v="251"/>
    <n v="23"/>
    <n v="23.853427512896101"/>
    <s v="Fail"/>
    <n v="3.54104601225092"/>
    <s v="Sea"/>
    <s v="Route A"/>
    <n v="371.25529551987103"/>
  </r>
  <r>
    <x v="1"/>
    <s v="SKU34"/>
    <n v="37.467592329842397"/>
    <n v="96"/>
    <n v="602"/>
    <n v="9061.7108955077201"/>
    <s v="Unknown"/>
    <n v="1"/>
    <n v="26"/>
    <n v="21"/>
    <n v="7"/>
    <x v="1"/>
    <n v="1.0194875708221101"/>
    <x v="1"/>
    <s v="Chennai"/>
    <n v="4"/>
    <n v="452"/>
    <n v="10"/>
    <n v="10.754272815029299"/>
    <s v="Pass"/>
    <n v="0.64660455937205397"/>
    <s v="Road"/>
    <s v="Route B"/>
    <n v="510.35800043352299"/>
  </r>
  <r>
    <x v="2"/>
    <s v="SKU35"/>
    <n v="84.957786816350406"/>
    <n v="11"/>
    <n v="449"/>
    <n v="6541.3293448024597"/>
    <s v="Female"/>
    <n v="42"/>
    <n v="27"/>
    <n v="85"/>
    <n v="8"/>
    <x v="2"/>
    <n v="5.2881899903273997"/>
    <x v="1"/>
    <s v="Delhi"/>
    <n v="3"/>
    <n v="367"/>
    <n v="2"/>
    <n v="58.004787044743701"/>
    <s v="Pass"/>
    <n v="0.54115409806058101"/>
    <s v="Sea"/>
    <s v="Route C"/>
    <n v="553.42047123035502"/>
  </r>
  <r>
    <x v="1"/>
    <s v="SKU36"/>
    <n v="9.81300257875405"/>
    <n v="34"/>
    <n v="963"/>
    <n v="7573.4024578487297"/>
    <s v="Female"/>
    <n v="18"/>
    <n v="23"/>
    <n v="28"/>
    <n v="3"/>
    <x v="0"/>
    <n v="2.1079512671590801"/>
    <x v="4"/>
    <s v="Delhi"/>
    <n v="26"/>
    <n v="671"/>
    <n v="19"/>
    <n v="45.531364237162101"/>
    <s v="Fail"/>
    <n v="3.8055333792433501"/>
    <s v="Air"/>
    <s v="Route C"/>
    <n v="403.80897424817999"/>
  </r>
  <r>
    <x v="1"/>
    <s v="SKU37"/>
    <n v="23.3998447526143"/>
    <n v="5"/>
    <n v="963"/>
    <n v="2438.3399304700201"/>
    <s v="Female"/>
    <n v="25"/>
    <n v="8"/>
    <n v="21"/>
    <n v="9"/>
    <x v="1"/>
    <n v="1.53265527359043"/>
    <x v="0"/>
    <s v="Kolkata"/>
    <n v="24"/>
    <n v="867"/>
    <n v="15"/>
    <n v="34.343277465075303"/>
    <s v="Pending"/>
    <n v="2.61028808484811"/>
    <s v="Sea"/>
    <s v="Route A"/>
    <n v="183.932968043594"/>
  </r>
  <r>
    <x v="2"/>
    <s v="SKU38"/>
    <n v="52.075930682707799"/>
    <n v="75"/>
    <n v="705"/>
    <n v="9692.3180402184298"/>
    <s v="Non-binary"/>
    <n v="69"/>
    <n v="1"/>
    <n v="88"/>
    <n v="5"/>
    <x v="0"/>
    <n v="9.2359314372492207"/>
    <x v="2"/>
    <s v="Mumbai"/>
    <n v="10"/>
    <n v="841"/>
    <n v="12"/>
    <n v="5.9306936455283097"/>
    <s v="Pending"/>
    <n v="0.613326899164507"/>
    <s v="Air"/>
    <s v="Route B"/>
    <n v="339.67286994860598"/>
  </r>
  <r>
    <x v="1"/>
    <s v="SKU39"/>
    <n v="19.127477265823199"/>
    <n v="26"/>
    <n v="176"/>
    <n v="1912.4656631007599"/>
    <s v="Female"/>
    <n v="78"/>
    <n v="29"/>
    <n v="34"/>
    <n v="3"/>
    <x v="1"/>
    <n v="5.5625037788303802"/>
    <x v="4"/>
    <s v="Kolkata"/>
    <n v="30"/>
    <n v="791"/>
    <n v="6"/>
    <n v="9.0058074287816403"/>
    <s v="Fail"/>
    <n v="1.4519722039968099"/>
    <s v="Air"/>
    <s v="Route B"/>
    <n v="653.67299455203295"/>
  </r>
  <r>
    <x v="1"/>
    <s v="SKU40"/>
    <n v="80.541424170940303"/>
    <n v="97"/>
    <n v="933"/>
    <n v="5724.9593504562599"/>
    <s v="Female"/>
    <n v="90"/>
    <n v="20"/>
    <n v="39"/>
    <n v="8"/>
    <x v="2"/>
    <n v="7.2295951397364702"/>
    <x v="1"/>
    <s v="Kolkata"/>
    <n v="18"/>
    <n v="793"/>
    <n v="1"/>
    <n v="88.179407104217404"/>
    <s v="Pending"/>
    <n v="4.2132694305865597"/>
    <s v="Road"/>
    <s v="Route A"/>
    <n v="529.80872398069096"/>
  </r>
  <r>
    <x v="1"/>
    <s v="SKU41"/>
    <n v="99.113291615317095"/>
    <n v="35"/>
    <n v="556"/>
    <n v="5521.2052590109697"/>
    <s v="Female"/>
    <n v="64"/>
    <n v="19"/>
    <n v="38"/>
    <n v="8"/>
    <x v="0"/>
    <n v="5.7732637437666501"/>
    <x v="3"/>
    <s v="Chennai"/>
    <n v="18"/>
    <n v="892"/>
    <n v="7"/>
    <n v="95.332064548772493"/>
    <s v="Fail"/>
    <n v="4.5302262398259602E-2"/>
    <s v="Sea"/>
    <s v="Route A"/>
    <n v="275.52437113130901"/>
  </r>
  <r>
    <x v="1"/>
    <s v="SKU42"/>
    <n v="46.529167614516702"/>
    <n v="98"/>
    <n v="155"/>
    <n v="1839.60942585676"/>
    <s v="Female"/>
    <n v="22"/>
    <n v="27"/>
    <n v="57"/>
    <n v="4"/>
    <x v="2"/>
    <n v="7.5262483268515004"/>
    <x v="2"/>
    <s v="Bangalore"/>
    <n v="26"/>
    <n v="179"/>
    <n v="7"/>
    <n v="96.422820639571796"/>
    <s v="Fail"/>
    <n v="4.9392552886209398"/>
    <s v="Road"/>
    <s v="Route A"/>
    <n v="635.65712050199102"/>
  </r>
  <r>
    <x v="0"/>
    <s v="SKU43"/>
    <n v="11.7432717763092"/>
    <n v="6"/>
    <n v="598"/>
    <n v="5737.4255991190203"/>
    <s v="Unknown"/>
    <n v="36"/>
    <n v="29"/>
    <n v="85"/>
    <n v="9"/>
    <x v="0"/>
    <n v="3.6940212683884499"/>
    <x v="2"/>
    <s v="Mumbai"/>
    <n v="1"/>
    <n v="206"/>
    <n v="23"/>
    <n v="26.2773659573324"/>
    <s v="Pending"/>
    <n v="0.37230476798509698"/>
    <s v="Air"/>
    <s v="Route A"/>
    <n v="716.04411975933999"/>
  </r>
  <r>
    <x v="2"/>
    <s v="SKU44"/>
    <n v="51.355790913110297"/>
    <n v="34"/>
    <n v="919"/>
    <n v="7152.28604943551"/>
    <s v="Female"/>
    <n v="13"/>
    <n v="19"/>
    <n v="72"/>
    <n v="6"/>
    <x v="2"/>
    <n v="7.5774496573766896"/>
    <x v="4"/>
    <s v="Delhi"/>
    <n v="7"/>
    <n v="834"/>
    <n v="18"/>
    <n v="22.554106620887701"/>
    <s v="Fail"/>
    <n v="2.9626263204548802"/>
    <s v="Rail"/>
    <s v="Route A"/>
    <n v="610.45326961922694"/>
  </r>
  <r>
    <x v="0"/>
    <s v="SKU45"/>
    <n v="33.784138033065503"/>
    <n v="1"/>
    <n v="24"/>
    <n v="5267.9568075105199"/>
    <s v="Male"/>
    <n v="93"/>
    <n v="7"/>
    <n v="52"/>
    <n v="6"/>
    <x v="0"/>
    <n v="5.2151550087119096"/>
    <x v="4"/>
    <s v="Chennai"/>
    <n v="25"/>
    <n v="794"/>
    <n v="25"/>
    <n v="66.312544439991598"/>
    <s v="Pass"/>
    <n v="3.2196046120841002"/>
    <s v="Rail"/>
    <s v="Route A"/>
    <n v="495.30569702847299"/>
  </r>
  <r>
    <x v="0"/>
    <s v="SKU46"/>
    <n v="27.082207199888899"/>
    <n v="75"/>
    <n v="859"/>
    <n v="2556.7673606335902"/>
    <s v="Non-binary"/>
    <n v="92"/>
    <n v="29"/>
    <n v="6"/>
    <n v="8"/>
    <x v="0"/>
    <n v="4.0709558370840799"/>
    <x v="0"/>
    <s v="Chennai"/>
    <n v="18"/>
    <n v="870"/>
    <n v="23"/>
    <n v="77.322353211051606"/>
    <s v="Pending"/>
    <n v="3.6486105925361998"/>
    <s v="Road"/>
    <s v="Route B"/>
    <n v="380.43593711196399"/>
  </r>
  <r>
    <x v="1"/>
    <s v="SKU47"/>
    <n v="95.712135880936003"/>
    <n v="93"/>
    <n v="910"/>
    <n v="7089.4742499341801"/>
    <s v="Male"/>
    <n v="4"/>
    <n v="15"/>
    <n v="51"/>
    <n v="9"/>
    <x v="0"/>
    <n v="8.9787507559499709"/>
    <x v="1"/>
    <s v="Kolkata"/>
    <n v="10"/>
    <n v="964"/>
    <n v="20"/>
    <n v="19.7129929112936"/>
    <s v="Pending"/>
    <n v="0.38057358671321301"/>
    <s v="Rail"/>
    <s v="Route A"/>
    <n v="581.60235505058597"/>
  </r>
  <r>
    <x v="0"/>
    <s v="SKU48"/>
    <n v="76.035544426891704"/>
    <n v="28"/>
    <n v="29"/>
    <n v="7397.0710045871801"/>
    <s v="Non-binary"/>
    <n v="30"/>
    <n v="16"/>
    <n v="9"/>
    <n v="3"/>
    <x v="2"/>
    <n v="7.0958331565551296"/>
    <x v="4"/>
    <s v="Mumbai"/>
    <n v="9"/>
    <n v="109"/>
    <n v="18"/>
    <n v="23.126363582464698"/>
    <s v="Fail"/>
    <n v="1.6981125407144"/>
    <s v="Rail"/>
    <s v="Route B"/>
    <n v="768.65191395437"/>
  </r>
  <r>
    <x v="2"/>
    <s v="SKU49"/>
    <n v="78.897913205639995"/>
    <n v="19"/>
    <n v="99"/>
    <n v="8001.6132065190004"/>
    <s v="Unknown"/>
    <n v="97"/>
    <n v="24"/>
    <n v="9"/>
    <n v="6"/>
    <x v="2"/>
    <n v="2.5056210329009101"/>
    <x v="2"/>
    <s v="Delhi"/>
    <n v="28"/>
    <n v="177"/>
    <n v="28"/>
    <n v="14.1478154439792"/>
    <s v="Pass"/>
    <n v="2.8258139854001301"/>
    <s v="Rail"/>
    <s v="Route A"/>
    <n v="336.89016851997701"/>
  </r>
  <r>
    <x v="2"/>
    <s v="SKU50"/>
    <n v="14.203484264803"/>
    <n v="91"/>
    <n v="633"/>
    <n v="5910.8853896688897"/>
    <s v="Female"/>
    <n v="31"/>
    <n v="23"/>
    <n v="82"/>
    <n v="10"/>
    <x v="1"/>
    <n v="6.2478609149759903"/>
    <x v="4"/>
    <s v="Delhi"/>
    <n v="20"/>
    <n v="306"/>
    <n v="21"/>
    <n v="45.178757924634503"/>
    <s v="Fail"/>
    <n v="4.7548008046711798"/>
    <s v="Rail"/>
    <s v="Route B"/>
    <n v="496.24865029194001"/>
  </r>
  <r>
    <x v="0"/>
    <s v="SKU51"/>
    <n v="26.700760972461701"/>
    <n v="61"/>
    <n v="154"/>
    <n v="9866.4654579796897"/>
    <s v="Male"/>
    <n v="100"/>
    <n v="4"/>
    <n v="52"/>
    <n v="1"/>
    <x v="1"/>
    <n v="4.78300055794766"/>
    <x v="2"/>
    <s v="Bangalore"/>
    <n v="18"/>
    <n v="673"/>
    <n v="28"/>
    <n v="14.190328344569901"/>
    <s v="Pending"/>
    <n v="1.77295117208355"/>
    <s v="Road"/>
    <s v="Route A"/>
    <n v="694.98231757944495"/>
  </r>
  <r>
    <x v="1"/>
    <s v="SKU52"/>
    <n v="98.031829656465007"/>
    <n v="1"/>
    <n v="820"/>
    <n v="9435.7626089121295"/>
    <s v="Male"/>
    <n v="64"/>
    <n v="11"/>
    <n v="11"/>
    <n v="1"/>
    <x v="0"/>
    <n v="8.6310521797689397"/>
    <x v="1"/>
    <s v="Mumbai"/>
    <n v="10"/>
    <n v="727"/>
    <n v="27"/>
    <n v="9.1668491485971497"/>
    <s v="Pending"/>
    <n v="2.1224716191438202"/>
    <s v="Air"/>
    <s v="Route C"/>
    <n v="602.89849883838303"/>
  </r>
  <r>
    <x v="1"/>
    <s v="SKU53"/>
    <n v="30.3414707112142"/>
    <n v="93"/>
    <n v="242"/>
    <n v="8232.3348294258194"/>
    <s v="Male"/>
    <n v="96"/>
    <n v="25"/>
    <n v="54"/>
    <n v="3"/>
    <x v="0"/>
    <n v="1.0134865660958901"/>
    <x v="1"/>
    <s v="Delhi"/>
    <n v="1"/>
    <n v="631"/>
    <n v="17"/>
    <n v="83.344058991677898"/>
    <s v="Pending"/>
    <n v="1.41034757607602"/>
    <s v="Air"/>
    <s v="Route B"/>
    <n v="750.73784066827"/>
  </r>
  <r>
    <x v="0"/>
    <s v="SKU54"/>
    <n v="31.1462431602408"/>
    <n v="11"/>
    <n v="622"/>
    <n v="6088.0214799408504"/>
    <s v="Non-binary"/>
    <n v="33"/>
    <n v="22"/>
    <n v="61"/>
    <n v="3"/>
    <x v="0"/>
    <n v="4.3051034712876302"/>
    <x v="1"/>
    <s v="Kolkata"/>
    <n v="26"/>
    <n v="497"/>
    <n v="29"/>
    <n v="30.186023375822501"/>
    <s v="Pass"/>
    <n v="2.4787719755397402"/>
    <s v="Road"/>
    <s v="Route B"/>
    <n v="814.06999658218695"/>
  </r>
  <r>
    <x v="0"/>
    <s v="SKU55"/>
    <n v="79.855058340789398"/>
    <n v="16"/>
    <n v="701"/>
    <n v="2925.6751703038099"/>
    <s v="Male"/>
    <n v="97"/>
    <n v="11"/>
    <n v="11"/>
    <n v="5"/>
    <x v="1"/>
    <n v="5.0143649550309002"/>
    <x v="4"/>
    <s v="Delhi"/>
    <n v="27"/>
    <n v="918"/>
    <n v="5"/>
    <n v="30.323545256616502"/>
    <s v="Fail"/>
    <n v="4.5489196593963799"/>
    <s v="Sea"/>
    <s v="Route B"/>
    <n v="323.01292795247798"/>
  </r>
  <r>
    <x v="1"/>
    <s v="SKU56"/>
    <n v="20.9863860370433"/>
    <n v="90"/>
    <n v="93"/>
    <n v="4767.0204843441297"/>
    <s v="Non-binary"/>
    <n v="25"/>
    <n v="23"/>
    <n v="83"/>
    <n v="5"/>
    <x v="2"/>
    <n v="1.77442971407173"/>
    <x v="1"/>
    <s v="Mumbai"/>
    <n v="24"/>
    <n v="826"/>
    <n v="28"/>
    <n v="12.8362845728327"/>
    <s v="Pass"/>
    <n v="1.1737554953874501"/>
    <s v="Air"/>
    <s v="Route B"/>
    <n v="832.210808706021"/>
  </r>
  <r>
    <x v="0"/>
    <s v="SKU57"/>
    <n v="49.263205350734097"/>
    <n v="65"/>
    <n v="227"/>
    <n v="1605.8669003924001"/>
    <s v="Unknown"/>
    <n v="5"/>
    <n v="18"/>
    <n v="51"/>
    <n v="1"/>
    <x v="0"/>
    <n v="9.1605585353818704"/>
    <x v="4"/>
    <s v="Delhi"/>
    <n v="21"/>
    <n v="588"/>
    <n v="25"/>
    <n v="67.779622987078099"/>
    <s v="Pending"/>
    <n v="2.5111748302126999"/>
    <s v="Rail"/>
    <s v="Route A"/>
    <n v="482.19123860252802"/>
  </r>
  <r>
    <x v="1"/>
    <s v="SKU58"/>
    <n v="59.841561377289302"/>
    <n v="81"/>
    <n v="896"/>
    <n v="2021.1498103371"/>
    <s v="Non-binary"/>
    <n v="10"/>
    <n v="5"/>
    <n v="44"/>
    <n v="7"/>
    <x v="1"/>
    <n v="4.9384385647120901"/>
    <x v="0"/>
    <s v="Delhi"/>
    <n v="18"/>
    <n v="396"/>
    <n v="7"/>
    <n v="65.047415094691402"/>
    <s v="Fail"/>
    <n v="1.7303747198591899"/>
    <s v="Road"/>
    <s v="Route B"/>
    <n v="110.364335231364"/>
  </r>
  <r>
    <x v="2"/>
    <s v="SKU59"/>
    <n v="63.828398347710902"/>
    <n v="30"/>
    <n v="484"/>
    <n v="1061.6185230132801"/>
    <s v="Non-binary"/>
    <n v="100"/>
    <n v="16"/>
    <n v="26"/>
    <n v="7"/>
    <x v="0"/>
    <n v="7.2937225968677204"/>
    <x v="1"/>
    <s v="Kolkata"/>
    <n v="11"/>
    <n v="176"/>
    <n v="4"/>
    <n v="1.90076224351945"/>
    <s v="Fail"/>
    <n v="0.44719401546382298"/>
    <s v="Air"/>
    <s v="Route A"/>
    <n v="312.57427361009297"/>
  </r>
  <r>
    <x v="1"/>
    <s v="SKU60"/>
    <n v="17.028027920188698"/>
    <n v="16"/>
    <n v="380"/>
    <n v="8864.0843495864301"/>
    <s v="Female"/>
    <n v="41"/>
    <n v="27"/>
    <n v="72"/>
    <n v="8"/>
    <x v="2"/>
    <n v="4.3813681581023101"/>
    <x v="3"/>
    <s v="Mumbai"/>
    <n v="29"/>
    <n v="929"/>
    <n v="24"/>
    <n v="87.213057815135599"/>
    <s v="Fail"/>
    <n v="2.8530906166490499"/>
    <s v="Rail"/>
    <s v="Route A"/>
    <n v="430.16909697513597"/>
  </r>
  <r>
    <x v="0"/>
    <s v="SKU61"/>
    <n v="52.028749903294901"/>
    <n v="23"/>
    <n v="117"/>
    <n v="6885.5893508962499"/>
    <s v="Unknown"/>
    <n v="32"/>
    <n v="23"/>
    <n v="36"/>
    <n v="7"/>
    <x v="2"/>
    <n v="9.0303404225219399"/>
    <x v="3"/>
    <s v="Kolkata"/>
    <n v="14"/>
    <n v="480"/>
    <n v="12"/>
    <n v="78.702393968878894"/>
    <s v="Fail"/>
    <n v="4.3674705382050503"/>
    <s v="Air"/>
    <s v="Route A"/>
    <n v="164.366528243419"/>
  </r>
  <r>
    <x v="2"/>
    <s v="SKU62"/>
    <n v="72.796353955587307"/>
    <n v="89"/>
    <n v="270"/>
    <n v="3899.7468337292198"/>
    <s v="Unknown"/>
    <n v="86"/>
    <n v="2"/>
    <n v="40"/>
    <n v="7"/>
    <x v="2"/>
    <n v="7.2917013887767697"/>
    <x v="4"/>
    <s v="Mumbai"/>
    <n v="13"/>
    <n v="751"/>
    <n v="14"/>
    <n v="21.048642725168602"/>
    <s v="Pass"/>
    <n v="1.87400140404437"/>
    <s v="Sea"/>
    <s v="Route C"/>
    <n v="320.84651575911101"/>
  </r>
  <r>
    <x v="1"/>
    <s v="SKU63"/>
    <n v="13.0173767852878"/>
    <n v="55"/>
    <n v="246"/>
    <n v="4256.9491408502199"/>
    <s v="Non-binary"/>
    <n v="54"/>
    <n v="19"/>
    <n v="10"/>
    <n v="4"/>
    <x v="1"/>
    <n v="2.45793352798733"/>
    <x v="0"/>
    <s v="Bangalore"/>
    <n v="18"/>
    <n v="736"/>
    <n v="10"/>
    <n v="20.075003975630398"/>
    <s v="Pending"/>
    <n v="3.6328432903821302"/>
    <s v="Sea"/>
    <s v="Route A"/>
    <n v="687.28617786641701"/>
  </r>
  <r>
    <x v="1"/>
    <s v="SKU64"/>
    <n v="89.634095608135297"/>
    <n v="11"/>
    <n v="134"/>
    <n v="8458.7308783671706"/>
    <s v="Female"/>
    <n v="73"/>
    <n v="27"/>
    <n v="75"/>
    <n v="6"/>
    <x v="2"/>
    <n v="4.5853534681946497"/>
    <x v="1"/>
    <s v="Delhi"/>
    <n v="17"/>
    <n v="328"/>
    <n v="6"/>
    <n v="8.6930424258772803"/>
    <s v="Fail"/>
    <n v="0.15948631471751401"/>
    <s v="Air"/>
    <s v="Route C"/>
    <n v="771.225084681157"/>
  </r>
  <r>
    <x v="1"/>
    <s v="SKU65"/>
    <n v="33.697717206643098"/>
    <n v="72"/>
    <n v="457"/>
    <n v="8354.5796864819895"/>
    <s v="Male"/>
    <n v="57"/>
    <n v="24"/>
    <n v="54"/>
    <n v="8"/>
    <x v="2"/>
    <n v="6.5805413478845898"/>
    <x v="2"/>
    <s v="Kolkata"/>
    <n v="16"/>
    <n v="358"/>
    <n v="21"/>
    <n v="1.59722274305067"/>
    <s v="Fail"/>
    <n v="4.9110959548423301"/>
    <s v="Rail"/>
    <s v="Route C"/>
    <n v="555.85910367174301"/>
  </r>
  <r>
    <x v="1"/>
    <s v="SKU66"/>
    <n v="26.034869773962001"/>
    <n v="52"/>
    <n v="704"/>
    <n v="8367.7216180201503"/>
    <s v="Female"/>
    <n v="13"/>
    <n v="17"/>
    <n v="19"/>
    <n v="8"/>
    <x v="1"/>
    <n v="2.2161427287713602"/>
    <x v="2"/>
    <s v="Kolkata"/>
    <n v="24"/>
    <n v="867"/>
    <n v="28"/>
    <n v="42.084436738309897"/>
    <s v="Fail"/>
    <n v="3.44806328834026"/>
    <s v="Road"/>
    <s v="Route A"/>
    <n v="393.84334857842703"/>
  </r>
  <r>
    <x v="1"/>
    <s v="SKU67"/>
    <n v="87.755432354001002"/>
    <n v="16"/>
    <n v="513"/>
    <n v="9473.7980325083299"/>
    <s v="Unknown"/>
    <n v="12"/>
    <n v="9"/>
    <n v="71"/>
    <n v="9"/>
    <x v="2"/>
    <n v="9.1478115447106294"/>
    <x v="1"/>
    <s v="Mumbai"/>
    <n v="10"/>
    <n v="198"/>
    <n v="11"/>
    <n v="7.0578761469782298"/>
    <s v="Pass"/>
    <n v="0.131955444311814"/>
    <s v="Sea"/>
    <s v="Route C"/>
    <n v="169.27180138478599"/>
  </r>
  <r>
    <x v="0"/>
    <s v="SKU68"/>
    <n v="37.931812382790298"/>
    <n v="29"/>
    <n v="163"/>
    <n v="3550.21843278099"/>
    <s v="Non-binary"/>
    <n v="0"/>
    <n v="8"/>
    <n v="58"/>
    <n v="8"/>
    <x v="0"/>
    <n v="1.19425186488499"/>
    <x v="4"/>
    <s v="Bangalore"/>
    <n v="2"/>
    <n v="375"/>
    <n v="18"/>
    <n v="97.113581563462205"/>
    <s v="Fail"/>
    <n v="1.9834678721741801"/>
    <s v="Rail"/>
    <s v="Route A"/>
    <n v="299.70630311810299"/>
  </r>
  <r>
    <x v="1"/>
    <s v="SKU69"/>
    <n v="54.865528517069698"/>
    <n v="62"/>
    <n v="511"/>
    <n v="1752.3810874841199"/>
    <s v="Non-binary"/>
    <n v="95"/>
    <n v="1"/>
    <n v="27"/>
    <n v="3"/>
    <x v="0"/>
    <n v="9.7052867901203399"/>
    <x v="3"/>
    <s v="Kolkata"/>
    <n v="9"/>
    <n v="862"/>
    <n v="7"/>
    <n v="77.627765812748095"/>
    <s v="Pending"/>
    <n v="1.3623879886490999"/>
    <s v="Air"/>
    <s v="Route A"/>
    <n v="207.66320620857499"/>
  </r>
  <r>
    <x v="0"/>
    <s v="SKU70"/>
    <n v="47.914541824058702"/>
    <n v="90"/>
    <n v="32"/>
    <n v="7014.8879872033804"/>
    <s v="Female"/>
    <n v="10"/>
    <n v="12"/>
    <n v="22"/>
    <n v="4"/>
    <x v="0"/>
    <n v="6.3157177546007199"/>
    <x v="1"/>
    <s v="Bangalore"/>
    <n v="22"/>
    <n v="775"/>
    <n v="16"/>
    <n v="11.440781823761199"/>
    <s v="Pass"/>
    <n v="1.8305755986122301"/>
    <s v="Road"/>
    <s v="Route C"/>
    <n v="183.27289874871099"/>
  </r>
  <r>
    <x v="2"/>
    <s v="SKU71"/>
    <n v="6.3815331627479601"/>
    <n v="14"/>
    <n v="637"/>
    <n v="8180.3370854254399"/>
    <s v="Female"/>
    <n v="76"/>
    <n v="2"/>
    <n v="26"/>
    <n v="6"/>
    <x v="1"/>
    <n v="9.2281903170525101"/>
    <x v="4"/>
    <s v="Bangalore"/>
    <n v="2"/>
    <n v="258"/>
    <n v="10"/>
    <n v="30.661677477859499"/>
    <s v="Pending"/>
    <n v="2.07875060787496"/>
    <s v="Road"/>
    <s v="Route A"/>
    <n v="405.167067888855"/>
  </r>
  <r>
    <x v="2"/>
    <s v="SKU72"/>
    <n v="90.204427520528"/>
    <n v="88"/>
    <n v="478"/>
    <n v="2633.1219813122498"/>
    <s v="Non-binary"/>
    <n v="57"/>
    <n v="29"/>
    <n v="77"/>
    <n v="9"/>
    <x v="1"/>
    <n v="6.5996141596895397"/>
    <x v="1"/>
    <s v="Bangalore"/>
    <n v="21"/>
    <n v="152"/>
    <n v="11"/>
    <n v="55.760492895244198"/>
    <s v="Pending"/>
    <n v="3.2133296074383"/>
    <s v="Rail"/>
    <s v="Route B"/>
    <n v="677.94456984618296"/>
  </r>
  <r>
    <x v="2"/>
    <s v="SKU73"/>
    <n v="83.851017681304597"/>
    <n v="41"/>
    <n v="375"/>
    <n v="7910.8869161406801"/>
    <s v="Male"/>
    <n v="17"/>
    <n v="25"/>
    <n v="66"/>
    <n v="5"/>
    <x v="0"/>
    <n v="1.5129368369160701"/>
    <x v="3"/>
    <s v="Chennai"/>
    <n v="13"/>
    <n v="444"/>
    <n v="4"/>
    <n v="46.870238797617098"/>
    <s v="Fail"/>
    <n v="4.6205460645137002"/>
    <s v="Road"/>
    <s v="Route A"/>
    <n v="866.472800129657"/>
  </r>
  <r>
    <x v="0"/>
    <s v="SKU74"/>
    <n v="3.1700114135661499"/>
    <n v="64"/>
    <n v="904"/>
    <n v="5709.9452959692799"/>
    <s v="Female"/>
    <n v="41"/>
    <n v="6"/>
    <n v="1"/>
    <n v="5"/>
    <x v="1"/>
    <n v="5.2376546500374399"/>
    <x v="3"/>
    <s v="Delhi"/>
    <n v="1"/>
    <n v="919"/>
    <n v="9"/>
    <n v="80.580852156447804"/>
    <s v="Fail"/>
    <n v="0.39661272410993498"/>
    <s v="Rail"/>
    <s v="Route A"/>
    <n v="341.55265678322297"/>
  </r>
  <r>
    <x v="1"/>
    <s v="SKU75"/>
    <n v="92.996884233970604"/>
    <n v="29"/>
    <n v="106"/>
    <n v="1889.07358977933"/>
    <s v="Non-binary"/>
    <n v="16"/>
    <n v="20"/>
    <n v="56"/>
    <n v="10"/>
    <x v="2"/>
    <n v="2.47389776104546"/>
    <x v="1"/>
    <s v="Chennai"/>
    <n v="25"/>
    <n v="759"/>
    <n v="11"/>
    <n v="48.064782640006499"/>
    <s v="Pass"/>
    <n v="2.0300690886687498"/>
    <s v="Air"/>
    <s v="Route C"/>
    <n v="873.12964801765099"/>
  </r>
  <r>
    <x v="0"/>
    <s v="SKU76"/>
    <n v="69.108799547430294"/>
    <n v="23"/>
    <n v="241"/>
    <n v="5328.3759842977497"/>
    <s v="Male"/>
    <n v="38"/>
    <n v="1"/>
    <n v="22"/>
    <n v="10"/>
    <x v="1"/>
    <n v="7.0545383368369201"/>
    <x v="4"/>
    <s v="Bangalore"/>
    <n v="25"/>
    <n v="985"/>
    <n v="24"/>
    <n v="64.323597795600193"/>
    <s v="Pending"/>
    <n v="2.1800374515822099"/>
    <s v="Rail"/>
    <s v="Route A"/>
    <n v="997.41345013319403"/>
  </r>
  <r>
    <x v="0"/>
    <s v="SKU77"/>
    <n v="57.449742958971399"/>
    <n v="14"/>
    <n v="359"/>
    <n v="2483.7601775427902"/>
    <s v="Unknown"/>
    <n v="96"/>
    <n v="28"/>
    <n v="57"/>
    <n v="4"/>
    <x v="0"/>
    <n v="6.7809466256178901"/>
    <x v="1"/>
    <s v="Kolkata"/>
    <n v="26"/>
    <n v="334"/>
    <n v="5"/>
    <n v="42.952444748991802"/>
    <s v="Pass"/>
    <n v="3.0551418183075398"/>
    <s v="Road"/>
    <s v="Route B"/>
    <n v="852.56809891984994"/>
  </r>
  <r>
    <x v="0"/>
    <s v="SKU78"/>
    <n v="6.30688317611191"/>
    <n v="50"/>
    <n v="946"/>
    <n v="1292.45841793775"/>
    <s v="Unknown"/>
    <n v="5"/>
    <n v="4"/>
    <n v="51"/>
    <n v="5"/>
    <x v="0"/>
    <n v="8.4670497708619905"/>
    <x v="2"/>
    <s v="Mumbai"/>
    <n v="25"/>
    <n v="858"/>
    <n v="21"/>
    <n v="71.126514720403307"/>
    <s v="Pending"/>
    <n v="4.0968813324704501"/>
    <s v="Sea"/>
    <s v="Route C"/>
    <n v="323.59220343132199"/>
  </r>
  <r>
    <x v="0"/>
    <s v="SKU79"/>
    <n v="57.057031221103202"/>
    <n v="56"/>
    <n v="198"/>
    <n v="7888.7232684270803"/>
    <s v="Non-binary"/>
    <n v="31"/>
    <n v="25"/>
    <n v="20"/>
    <n v="1"/>
    <x v="0"/>
    <n v="6.49632536429504"/>
    <x v="0"/>
    <s v="Bangalore"/>
    <n v="5"/>
    <n v="228"/>
    <n v="12"/>
    <n v="57.870902924036201"/>
    <s v="Pending"/>
    <n v="0.16587162748060799"/>
    <s v="Air"/>
    <s v="Route C"/>
    <n v="351.50421933503799"/>
  </r>
  <r>
    <x v="1"/>
    <s v="SKU80"/>
    <n v="91.128318350444303"/>
    <n v="75"/>
    <n v="872"/>
    <n v="8651.67268298206"/>
    <s v="Unknown"/>
    <n v="39"/>
    <n v="14"/>
    <n v="41"/>
    <n v="2"/>
    <x v="2"/>
    <n v="2.8331846794189701"/>
    <x v="0"/>
    <s v="Chennai"/>
    <n v="8"/>
    <n v="202"/>
    <n v="5"/>
    <n v="76.961228023819999"/>
    <s v="Fail"/>
    <n v="2.8496621985053299"/>
    <s v="Sea"/>
    <s v="Route B"/>
    <n v="787.77985049434403"/>
  </r>
  <r>
    <x v="0"/>
    <s v="SKU81"/>
    <n v="72.819206930318202"/>
    <n v="9"/>
    <n v="774"/>
    <n v="4384.4134000458598"/>
    <s v="Unknown"/>
    <n v="48"/>
    <n v="6"/>
    <n v="8"/>
    <n v="5"/>
    <x v="0"/>
    <n v="4.0662775015120403"/>
    <x v="0"/>
    <s v="Delhi"/>
    <n v="28"/>
    <n v="698"/>
    <n v="1"/>
    <n v="19.789592941903599"/>
    <s v="Pending"/>
    <n v="2.54754712154871"/>
    <s v="Rail"/>
    <s v="Route B"/>
    <n v="276.77833594679799"/>
  </r>
  <r>
    <x v="1"/>
    <s v="SKU82"/>
    <n v="17.034930739467899"/>
    <n v="13"/>
    <n v="336"/>
    <n v="2943.3818676094502"/>
    <s v="Unknown"/>
    <n v="42"/>
    <n v="19"/>
    <n v="72"/>
    <n v="1"/>
    <x v="1"/>
    <n v="4.7081818735419301"/>
    <x v="4"/>
    <s v="Mumbai"/>
    <n v="6"/>
    <n v="955"/>
    <n v="26"/>
    <n v="4.4652784349432402"/>
    <s v="Pending"/>
    <n v="4.1378770486223502"/>
    <s v="Road"/>
    <s v="Route C"/>
    <n v="589.97855562804"/>
  </r>
  <r>
    <x v="0"/>
    <s v="SKU83"/>
    <n v="68.911246211606297"/>
    <n v="82"/>
    <n v="663"/>
    <n v="2411.7546321104901"/>
    <s v="Unknown"/>
    <n v="65"/>
    <n v="24"/>
    <n v="7"/>
    <n v="8"/>
    <x v="0"/>
    <n v="4.94983957799694"/>
    <x v="1"/>
    <s v="Bangalore"/>
    <n v="20"/>
    <n v="443"/>
    <n v="5"/>
    <n v="97.730593800533001"/>
    <s v="Fail"/>
    <n v="0.77300613406724705"/>
    <s v="Road"/>
    <s v="Route A"/>
    <n v="682.97101822609295"/>
  </r>
  <r>
    <x v="0"/>
    <s v="SKU84"/>
    <n v="89.104367292102197"/>
    <n v="99"/>
    <n v="618"/>
    <n v="2048.2900998487098"/>
    <s v="Unknown"/>
    <n v="73"/>
    <n v="26"/>
    <n v="80"/>
    <n v="10"/>
    <x v="1"/>
    <n v="8.3816156249226292"/>
    <x v="2"/>
    <s v="Chennai"/>
    <n v="24"/>
    <n v="589"/>
    <n v="22"/>
    <n v="33.808636513209002"/>
    <s v="Pass"/>
    <n v="4.8434565771180402"/>
    <s v="Air"/>
    <s v="Route B"/>
    <n v="465.45700596368698"/>
  </r>
  <r>
    <x v="2"/>
    <s v="SKU85"/>
    <n v="76.962994415193805"/>
    <n v="83"/>
    <n v="25"/>
    <n v="8684.6130592538502"/>
    <s v="Female"/>
    <n v="15"/>
    <n v="18"/>
    <n v="66"/>
    <n v="2"/>
    <x v="2"/>
    <n v="8.2491687048717193"/>
    <x v="2"/>
    <s v="Chennai"/>
    <n v="4"/>
    <n v="211"/>
    <n v="2"/>
    <n v="69.929345518672307"/>
    <s v="Fail"/>
    <n v="1.3744289997457499"/>
    <s v="Road"/>
    <s v="Route B"/>
    <n v="842.68683000464102"/>
  </r>
  <r>
    <x v="1"/>
    <s v="SKU86"/>
    <n v="19.9981769404042"/>
    <n v="18"/>
    <n v="223"/>
    <n v="1229.59102856498"/>
    <s v="Unknown"/>
    <n v="32"/>
    <n v="14"/>
    <n v="22"/>
    <n v="6"/>
    <x v="0"/>
    <n v="1.4543053101535499"/>
    <x v="1"/>
    <s v="Mumbai"/>
    <n v="4"/>
    <n v="569"/>
    <n v="18"/>
    <n v="74.608969995194599"/>
    <s v="Pass"/>
    <n v="2.0515129307662399"/>
    <s v="Rail"/>
    <s v="Route A"/>
    <n v="264.25488983586598"/>
  </r>
  <r>
    <x v="0"/>
    <s v="SKU87"/>
    <n v="80.414036650355698"/>
    <n v="24"/>
    <n v="79"/>
    <n v="5133.8467010866898"/>
    <s v="Male"/>
    <n v="5"/>
    <n v="7"/>
    <n v="55"/>
    <n v="10"/>
    <x v="1"/>
    <n v="6.5758037975485299"/>
    <x v="0"/>
    <s v="Chennai"/>
    <n v="27"/>
    <n v="523"/>
    <n v="17"/>
    <n v="28.696996824143099"/>
    <s v="Fail"/>
    <n v="3.6937377878392699"/>
    <s v="Sea"/>
    <s v="Route B"/>
    <n v="879.35921773492396"/>
  </r>
  <r>
    <x v="2"/>
    <s v="SKU88"/>
    <n v="75.270406975724995"/>
    <n v="58"/>
    <n v="737"/>
    <n v="9444.7420330629793"/>
    <s v="Male"/>
    <n v="60"/>
    <n v="18"/>
    <n v="85"/>
    <n v="7"/>
    <x v="1"/>
    <n v="3.8012531329310701"/>
    <x v="4"/>
    <s v="Mumbai"/>
    <n v="21"/>
    <n v="953"/>
    <n v="11"/>
    <n v="68.1849190570411"/>
    <s v="Pending"/>
    <n v="0.722204401882931"/>
    <s v="Sea"/>
    <s v="Route A"/>
    <n v="103.916247960704"/>
  </r>
  <r>
    <x v="2"/>
    <s v="SKU89"/>
    <n v="97.760085581938597"/>
    <n v="10"/>
    <n v="134"/>
    <n v="5924.6825668532301"/>
    <s v="Unknown"/>
    <n v="90"/>
    <n v="1"/>
    <n v="27"/>
    <n v="8"/>
    <x v="0"/>
    <n v="9.9298162452772498"/>
    <x v="1"/>
    <s v="Kolkata"/>
    <n v="23"/>
    <n v="370"/>
    <n v="11"/>
    <n v="46.603873381644398"/>
    <s v="Pending"/>
    <n v="1.9076657339590699"/>
    <s v="Rail"/>
    <s v="Route B"/>
    <n v="517.49997392906005"/>
  </r>
  <r>
    <x v="1"/>
    <s v="SKU90"/>
    <n v="13.881913501359101"/>
    <n v="56"/>
    <n v="320"/>
    <n v="9592.6335702803099"/>
    <s v="Non-binary"/>
    <n v="66"/>
    <n v="18"/>
    <n v="96"/>
    <n v="7"/>
    <x v="0"/>
    <n v="7.6744307081126903"/>
    <x v="0"/>
    <s v="Bangalore"/>
    <n v="8"/>
    <n v="585"/>
    <n v="8"/>
    <n v="85.675963335797903"/>
    <s v="Pass"/>
    <n v="1.2193822244013801"/>
    <s v="Rail"/>
    <s v="Route B"/>
    <n v="990.07847250581096"/>
  </r>
  <r>
    <x v="2"/>
    <s v="SKU91"/>
    <n v="62.111965463961702"/>
    <n v="90"/>
    <n v="916"/>
    <n v="1935.20679350759"/>
    <s v="Male"/>
    <n v="98"/>
    <n v="22"/>
    <n v="85"/>
    <n v="7"/>
    <x v="0"/>
    <n v="7.4715140844011403"/>
    <x v="3"/>
    <s v="Delhi"/>
    <n v="5"/>
    <n v="207"/>
    <n v="28"/>
    <n v="39.772882502339897"/>
    <s v="Pending"/>
    <n v="0.62600185820939402"/>
    <s v="Rail"/>
    <s v="Route B"/>
    <n v="996.77831495062298"/>
  </r>
  <r>
    <x v="2"/>
    <s v="SKU92"/>
    <n v="47.714233075820196"/>
    <n v="44"/>
    <n v="276"/>
    <n v="2100.1297546259302"/>
    <s v="Male"/>
    <n v="90"/>
    <n v="25"/>
    <n v="10"/>
    <n v="8"/>
    <x v="0"/>
    <n v="4.4695000261236002"/>
    <x v="4"/>
    <s v="Mumbai"/>
    <n v="4"/>
    <n v="671"/>
    <n v="29"/>
    <n v="62.612690395614301"/>
    <s v="Pass"/>
    <n v="0.33343182522473902"/>
    <s v="Rail"/>
    <s v="Route B"/>
    <n v="230.092782536762"/>
  </r>
  <r>
    <x v="0"/>
    <s v="SKU93"/>
    <n v="69.290831002905406"/>
    <n v="88"/>
    <n v="114"/>
    <n v="4531.4021336919004"/>
    <s v="Unknown"/>
    <n v="63"/>
    <n v="17"/>
    <n v="66"/>
    <n v="1"/>
    <x v="2"/>
    <n v="7.00643205900439"/>
    <x v="3"/>
    <s v="Chennai"/>
    <n v="21"/>
    <n v="824"/>
    <n v="20"/>
    <n v="35.633652343343797"/>
    <s v="Fail"/>
    <n v="4.1657817954241398"/>
    <s v="Air"/>
    <s v="Route A"/>
    <n v="823.52384588815505"/>
  </r>
  <r>
    <x v="2"/>
    <s v="SKU94"/>
    <n v="3.0376887246314102"/>
    <n v="97"/>
    <n v="987"/>
    <n v="7888.3565466618702"/>
    <s v="Unknown"/>
    <n v="77"/>
    <n v="26"/>
    <n v="72"/>
    <n v="9"/>
    <x v="0"/>
    <n v="6.9429459420325799"/>
    <x v="4"/>
    <s v="Delhi"/>
    <n v="12"/>
    <n v="908"/>
    <n v="14"/>
    <n v="60.387378614862101"/>
    <s v="Pass"/>
    <n v="1.4636074984727701"/>
    <s v="Rail"/>
    <s v="Route B"/>
    <n v="846.66525698669398"/>
  </r>
  <r>
    <x v="0"/>
    <s v="SKU95"/>
    <n v="77.903927219447695"/>
    <n v="65"/>
    <n v="672"/>
    <n v="7386.3639440486604"/>
    <s v="Unknown"/>
    <n v="15"/>
    <n v="14"/>
    <n v="26"/>
    <n v="9"/>
    <x v="0"/>
    <n v="8.6303388696027508"/>
    <x v="3"/>
    <s v="Mumbai"/>
    <n v="18"/>
    <n v="450"/>
    <n v="26"/>
    <n v="58.890685768589897"/>
    <s v="Pending"/>
    <n v="1.21088212958506"/>
    <s v="Air"/>
    <s v="Route A"/>
    <n v="778.86424137664699"/>
  </r>
  <r>
    <x v="2"/>
    <s v="SKU96"/>
    <n v="24.423131420373299"/>
    <n v="29"/>
    <n v="324"/>
    <n v="7698.4247656321104"/>
    <s v="Non-binary"/>
    <n v="67"/>
    <n v="2"/>
    <n v="32"/>
    <n v="3"/>
    <x v="2"/>
    <n v="5.3528780439967996"/>
    <x v="0"/>
    <s v="Mumbai"/>
    <n v="28"/>
    <n v="648"/>
    <n v="28"/>
    <n v="17.803756331391199"/>
    <s v="Pending"/>
    <n v="3.8720476814821301"/>
    <s v="Road"/>
    <s v="Route A"/>
    <n v="188.74214114905601"/>
  </r>
  <r>
    <x v="0"/>
    <s v="SKU97"/>
    <n v="3.5261112591434101"/>
    <n v="56"/>
    <n v="62"/>
    <n v="4370.9165799845296"/>
    <s v="Male"/>
    <n v="46"/>
    <n v="19"/>
    <n v="4"/>
    <n v="9"/>
    <x v="1"/>
    <n v="7.9048456112096703"/>
    <x v="3"/>
    <s v="Mumbai"/>
    <n v="10"/>
    <n v="535"/>
    <n v="13"/>
    <n v="65.765155926367399"/>
    <s v="Fail"/>
    <n v="3.3762378347179798"/>
    <s v="Road"/>
    <s v="Route A"/>
    <n v="540.13242286796697"/>
  </r>
  <r>
    <x v="1"/>
    <s v="SKU98"/>
    <n v="19.754604866878601"/>
    <n v="43"/>
    <n v="913"/>
    <n v="8525.9525596835192"/>
    <s v="Female"/>
    <n v="53"/>
    <n v="1"/>
    <n v="27"/>
    <n v="7"/>
    <x v="0"/>
    <n v="1.4098010951380699"/>
    <x v="2"/>
    <s v="Chennai"/>
    <n v="28"/>
    <n v="581"/>
    <n v="9"/>
    <n v="5.6046908643717801"/>
    <s v="Pending"/>
    <n v="2.9081221693512598"/>
    <s v="Rail"/>
    <s v="Route A"/>
    <n v="882.19886354704101"/>
  </r>
  <r>
    <x v="0"/>
    <s v="SKU99"/>
    <n v="68.517832699276596"/>
    <n v="17"/>
    <n v="627"/>
    <n v="9185.1858291817007"/>
    <s v="Unknown"/>
    <n v="55"/>
    <n v="8"/>
    <n v="59"/>
    <n v="6"/>
    <x v="0"/>
    <n v="1.3110237561206199"/>
    <x v="4"/>
    <s v="Chennai"/>
    <n v="29"/>
    <n v="921"/>
    <n v="2"/>
    <n v="38.072898520625998"/>
    <s v="Fail"/>
    <n v="0.34602729070550298"/>
    <s v="Rail"/>
    <s v="Route B"/>
    <n v="210.74300896424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8A5FA3-C11B-4327-A177-3DC1AFD80CB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1:J5" firstHeaderRow="1" firstDataRow="1" firstDataCol="1"/>
  <pivotFields count="24">
    <pivotField showAll="0">
      <items count="4">
        <item x="2"/>
        <item x="0"/>
        <item x="1"/>
        <item t="default"/>
      </items>
    </pivotField>
    <pivotField showAll="0"/>
    <pivotField numFmtId="164" showAll="0"/>
    <pivotField showAll="0"/>
    <pivotField showAll="0"/>
    <pivotField numFmtId="164" showAll="0"/>
    <pivotField showAll="0"/>
    <pivotField showAll="0"/>
    <pivotField showAll="0"/>
    <pivotField showAll="0"/>
    <pivotField dataField="1"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4">
    <i>
      <x/>
    </i>
    <i>
      <x v="1"/>
    </i>
    <i>
      <x v="2"/>
    </i>
    <i t="grand">
      <x/>
    </i>
  </rowItems>
  <colItems count="1">
    <i/>
  </colItems>
  <dataFields count="1">
    <dataField name="Average of Shipping times" fld="10" subtotal="average" baseField="1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96FFE1-AE07-49AF-9947-7191F6C5828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5" firstHeaderRow="1" firstDataRow="1" firstDataCol="1"/>
  <pivotFields count="24">
    <pivotField axis="axisRow" showAll="0">
      <items count="4">
        <item x="2"/>
        <item x="0"/>
        <item x="1"/>
        <item t="default"/>
      </items>
    </pivotField>
    <pivotField showAll="0"/>
    <pivotField numFmtId="164" showAll="0"/>
    <pivotField showAll="0"/>
    <pivotField showAll="0"/>
    <pivotField dataField="1" numFmtId="164" showAll="0"/>
    <pivotField showAll="0"/>
    <pivotField showAll="0"/>
    <pivotField showAll="0"/>
    <pivotField showAll="0"/>
    <pivotField showAll="0"/>
    <pivotField showAll="0">
      <items count="4">
        <item x="1"/>
        <item x="0"/>
        <item x="2"/>
        <item t="default"/>
      </items>
    </pivotField>
    <pivotField showAll="0"/>
    <pivotField showAll="0">
      <items count="6">
        <item x="1"/>
        <item x="4"/>
        <item x="0"/>
        <item x="3"/>
        <item x="2"/>
        <item t="default"/>
      </items>
    </pivotField>
    <pivotField showAll="0"/>
    <pivotField showAll="0"/>
    <pivotField showAll="0"/>
    <pivotField showAll="0"/>
    <pivotField showAll="0"/>
    <pivotField showAll="0"/>
    <pivotField showAll="0"/>
    <pivotField showAll="0"/>
    <pivotField showAll="0"/>
    <pivotField showAll="0"/>
  </pivotFields>
  <rowFields count="1">
    <field x="0"/>
  </rowFields>
  <rowItems count="4">
    <i>
      <x/>
    </i>
    <i>
      <x v="1"/>
    </i>
    <i>
      <x v="2"/>
    </i>
    <i t="grand">
      <x/>
    </i>
  </rowItems>
  <colItems count="1">
    <i/>
  </colItems>
  <dataFields count="1">
    <dataField name="Sum of Revenue generated" fld="5"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1F8A6A-EE7D-4B69-A787-D1FA0645521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Q1:R7" firstHeaderRow="1" firstDataRow="1" firstDataCol="1"/>
  <pivotFields count="24">
    <pivotField showAll="0"/>
    <pivotField showAll="0"/>
    <pivotField numFmtId="164" showAll="0"/>
    <pivotField showAll="0"/>
    <pivotField showAll="0"/>
    <pivotField numFmtId="164" showAll="0"/>
    <pivotField showAll="0"/>
    <pivotField showAll="0"/>
    <pivotField showAll="0"/>
    <pivotField showAll="0"/>
    <pivotField showAll="0"/>
    <pivotField showAll="0"/>
    <pivotField showAll="0"/>
    <pivotField axis="axisRow" showAll="0">
      <items count="6">
        <item x="1"/>
        <item x="4"/>
        <item x="0"/>
        <item x="3"/>
        <item x="2"/>
        <item t="default"/>
      </items>
    </pivotField>
    <pivotField showAll="0"/>
    <pivotField showAll="0"/>
    <pivotField showAll="0"/>
    <pivotField showAll="0"/>
    <pivotField showAll="0"/>
    <pivotField showAll="0"/>
    <pivotField dataField="1" showAll="0"/>
    <pivotField showAll="0"/>
    <pivotField showAll="0"/>
    <pivotField showAll="0"/>
  </pivotFields>
  <rowFields count="1">
    <field x="13"/>
  </rowFields>
  <rowItems count="6">
    <i>
      <x/>
    </i>
    <i>
      <x v="1"/>
    </i>
    <i>
      <x v="2"/>
    </i>
    <i>
      <x v="3"/>
    </i>
    <i>
      <x v="4"/>
    </i>
    <i t="grand">
      <x/>
    </i>
  </rowItems>
  <colItems count="1">
    <i/>
  </colItems>
  <dataFields count="1">
    <dataField name="Average of Defect rates" fld="20" subtotal="average" baseField="13"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E1064B24-0DE5-481B-9ACD-4404787E027A}" sourceName="Product type">
  <pivotTables>
    <pivotTable tabId="6" name="PivotTable1"/>
    <pivotTable tabId="6" name="PivotTable3"/>
  </pivotTables>
  <data>
    <tabular pivotCacheId="185221440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ping_carriers" xr10:uid="{C8A3FE43-AE77-42CE-8473-3A5C58CC16F9}" sourceName="Shipping carriers">
  <pivotTables>
    <pivotTable tabId="6" name="PivotTable1"/>
  </pivotTables>
  <data>
    <tabular pivotCacheId="1852214401">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name" xr10:uid="{3D2A56AA-F765-4C37-98CE-17DE84F3374A}" sourceName="Supplier name">
  <pivotTables>
    <pivotTable tabId="6" name="PivotTable1"/>
  </pivotTables>
  <data>
    <tabular pivotCacheId="1852214401">
      <items count="5">
        <i x="1" s="1"/>
        <i x="4"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type" xr10:uid="{914D755E-206D-4EA1-B9DC-FF82444E1653}" cache="Slicer_Product_type" caption="Product type" rowHeight="234950"/>
  <slicer name="Shipping carriers" xr10:uid="{AEF9A3E3-B0C3-4053-BF99-6BFAECB47AEB}" cache="Slicer_Shipping_carriers" caption="Shipping carriers" rowHeight="234950"/>
  <slicer name="Supplier name" xr10:uid="{FDB991FF-7DC4-4827-8ADA-8DE3F65B17ED}" cache="Slicer_Supplier_name" caption="Supplier nam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05BFE06-889B-4B38-A418-669F9EDD3D71}" name="Table2" displayName="Table2" ref="A1:D6" totalsRowShown="0">
  <autoFilter ref="A1:D6" xr:uid="{505BFE06-889B-4B38-A418-669F9EDD3D71}"/>
  <tableColumns count="4">
    <tableColumn id="1" xr3:uid="{ADAE41AA-74A0-4319-9924-39D6940D53C9}" name="Supplier name"/>
    <tableColumn id="2" xr3:uid="{D5CB997A-542D-4192-8C22-011479ADBC39}" name="Location"/>
    <tableColumn id="3" xr3:uid="{D9B588CD-F598-4546-8F22-0BC3D494CABB}" name="Lead time category"/>
    <tableColumn id="4" xr3:uid="{2FFBA45E-412D-43FB-BBCD-807D892A1B5F}" name="Reliability sco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241BA-1C8A-4CDB-9297-10BC04A025D6}">
  <dimension ref="A1:X101"/>
  <sheetViews>
    <sheetView zoomScale="65" workbookViewId="0">
      <selection activeCell="Z22" sqref="Z22"/>
    </sheetView>
  </sheetViews>
  <sheetFormatPr defaultRowHeight="14.4"/>
  <sheetData>
    <row r="1" spans="1:2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c r="A2" t="s">
        <v>24</v>
      </c>
      <c r="B2" t="s">
        <v>25</v>
      </c>
      <c r="C2">
        <v>69.808005542115694</v>
      </c>
      <c r="D2">
        <v>55</v>
      </c>
      <c r="E2">
        <v>802</v>
      </c>
      <c r="F2">
        <v>8661.9967923923796</v>
      </c>
      <c r="G2" t="s">
        <v>26</v>
      </c>
      <c r="H2">
        <v>58</v>
      </c>
      <c r="I2">
        <v>7</v>
      </c>
      <c r="J2">
        <v>96</v>
      </c>
      <c r="K2">
        <v>4</v>
      </c>
      <c r="L2" t="s">
        <v>27</v>
      </c>
      <c r="M2">
        <v>2.9565721394308002</v>
      </c>
      <c r="N2" t="s">
        <v>28</v>
      </c>
      <c r="O2" t="s">
        <v>29</v>
      </c>
      <c r="P2">
        <v>29</v>
      </c>
      <c r="Q2">
        <v>215</v>
      </c>
      <c r="R2">
        <v>29</v>
      </c>
      <c r="S2">
        <v>46.279879240508301</v>
      </c>
      <c r="T2" t="s">
        <v>30</v>
      </c>
      <c r="U2">
        <v>0.226410360849925</v>
      </c>
      <c r="V2" t="s">
        <v>31</v>
      </c>
      <c r="W2" t="s">
        <v>32</v>
      </c>
      <c r="X2">
        <v>187.75207545920301</v>
      </c>
    </row>
    <row r="3" spans="1:24">
      <c r="A3" t="s">
        <v>33</v>
      </c>
      <c r="B3" t="s">
        <v>34</v>
      </c>
      <c r="C3">
        <v>14.8435232750843</v>
      </c>
      <c r="D3">
        <v>95</v>
      </c>
      <c r="E3">
        <v>736</v>
      </c>
      <c r="F3">
        <v>7460.9000654458396</v>
      </c>
      <c r="G3" t="s">
        <v>35</v>
      </c>
      <c r="H3">
        <v>53</v>
      </c>
      <c r="I3">
        <v>30</v>
      </c>
      <c r="J3">
        <v>37</v>
      </c>
      <c r="K3">
        <v>2</v>
      </c>
      <c r="L3" t="s">
        <v>36</v>
      </c>
      <c r="M3">
        <v>9.7165747714313095</v>
      </c>
      <c r="N3" t="s">
        <v>28</v>
      </c>
      <c r="O3" t="s">
        <v>29</v>
      </c>
      <c r="P3">
        <v>23</v>
      </c>
      <c r="Q3">
        <v>517</v>
      </c>
      <c r="R3">
        <v>30</v>
      </c>
      <c r="S3">
        <v>33.616768953730002</v>
      </c>
      <c r="T3" t="s">
        <v>30</v>
      </c>
      <c r="U3">
        <v>4.8540680263886999</v>
      </c>
      <c r="V3" t="s">
        <v>31</v>
      </c>
      <c r="W3" t="s">
        <v>32</v>
      </c>
      <c r="X3">
        <v>503.06557914966902</v>
      </c>
    </row>
    <row r="4" spans="1:24">
      <c r="A4" t="s">
        <v>24</v>
      </c>
      <c r="B4" t="s">
        <v>37</v>
      </c>
      <c r="C4">
        <v>11.319683293090501</v>
      </c>
      <c r="D4">
        <v>34</v>
      </c>
      <c r="E4">
        <v>8</v>
      </c>
      <c r="F4">
        <v>9577.7496258687297</v>
      </c>
      <c r="G4" t="s">
        <v>38</v>
      </c>
      <c r="H4">
        <v>1</v>
      </c>
      <c r="I4">
        <v>10</v>
      </c>
      <c r="J4">
        <v>88</v>
      </c>
      <c r="K4">
        <v>2</v>
      </c>
      <c r="L4" t="s">
        <v>27</v>
      </c>
      <c r="M4">
        <v>8.0544792617321495</v>
      </c>
      <c r="N4" t="s">
        <v>39</v>
      </c>
      <c r="O4" t="s">
        <v>29</v>
      </c>
      <c r="P4">
        <v>12</v>
      </c>
      <c r="Q4">
        <v>971</v>
      </c>
      <c r="R4">
        <v>27</v>
      </c>
      <c r="S4">
        <v>30.6880193482842</v>
      </c>
      <c r="T4" t="s">
        <v>30</v>
      </c>
      <c r="U4">
        <v>4.5805926191992201</v>
      </c>
      <c r="V4" t="s">
        <v>40</v>
      </c>
      <c r="W4" t="s">
        <v>41</v>
      </c>
      <c r="X4">
        <v>141.920281771519</v>
      </c>
    </row>
    <row r="5" spans="1:24">
      <c r="A5" t="s">
        <v>33</v>
      </c>
      <c r="B5" t="s">
        <v>42</v>
      </c>
      <c r="C5">
        <v>61.1633430164377</v>
      </c>
      <c r="D5">
        <v>68</v>
      </c>
      <c r="E5">
        <v>83</v>
      </c>
      <c r="F5">
        <v>7766.8364256852301</v>
      </c>
      <c r="G5" t="s">
        <v>26</v>
      </c>
      <c r="H5">
        <v>23</v>
      </c>
      <c r="I5">
        <v>13</v>
      </c>
      <c r="J5">
        <v>59</v>
      </c>
      <c r="K5">
        <v>6</v>
      </c>
      <c r="L5" t="s">
        <v>43</v>
      </c>
      <c r="M5">
        <v>1.7295685635434199</v>
      </c>
      <c r="N5" t="s">
        <v>44</v>
      </c>
      <c r="O5" t="s">
        <v>45</v>
      </c>
      <c r="P5">
        <v>24</v>
      </c>
      <c r="Q5">
        <v>937</v>
      </c>
      <c r="R5">
        <v>18</v>
      </c>
      <c r="S5">
        <v>35.624741397125</v>
      </c>
      <c r="T5" t="s">
        <v>46</v>
      </c>
      <c r="U5">
        <v>4.7466486206477496</v>
      </c>
      <c r="V5" t="s">
        <v>47</v>
      </c>
      <c r="W5" t="s">
        <v>48</v>
      </c>
      <c r="X5">
        <v>254.776159219286</v>
      </c>
    </row>
    <row r="6" spans="1:24">
      <c r="A6" t="s">
        <v>33</v>
      </c>
      <c r="B6" t="s">
        <v>49</v>
      </c>
      <c r="C6">
        <v>4.8054960363458896</v>
      </c>
      <c r="D6">
        <v>26</v>
      </c>
      <c r="E6">
        <v>871</v>
      </c>
      <c r="F6">
        <v>2686.50515156744</v>
      </c>
      <c r="G6" t="s">
        <v>26</v>
      </c>
      <c r="H6">
        <v>5</v>
      </c>
      <c r="I6">
        <v>3</v>
      </c>
      <c r="J6">
        <v>56</v>
      </c>
      <c r="K6">
        <v>8</v>
      </c>
      <c r="L6" t="s">
        <v>36</v>
      </c>
      <c r="M6">
        <v>3.8905479158706702</v>
      </c>
      <c r="N6" t="s">
        <v>39</v>
      </c>
      <c r="O6" t="s">
        <v>50</v>
      </c>
      <c r="P6">
        <v>5</v>
      </c>
      <c r="Q6">
        <v>414</v>
      </c>
      <c r="R6">
        <v>3</v>
      </c>
      <c r="S6">
        <v>92.065160598712794</v>
      </c>
      <c r="T6" t="s">
        <v>46</v>
      </c>
      <c r="U6">
        <v>3.1455795228330001</v>
      </c>
      <c r="V6" t="s">
        <v>40</v>
      </c>
      <c r="W6" t="s">
        <v>48</v>
      </c>
      <c r="X6">
        <v>923.44063171192204</v>
      </c>
    </row>
    <row r="7" spans="1:24">
      <c r="A7" t="s">
        <v>24</v>
      </c>
      <c r="B7" t="s">
        <v>51</v>
      </c>
      <c r="C7">
        <v>1.6999760138659299</v>
      </c>
      <c r="D7">
        <v>87</v>
      </c>
      <c r="E7">
        <v>147</v>
      </c>
      <c r="F7">
        <v>2828.3487459757498</v>
      </c>
      <c r="G7" t="s">
        <v>26</v>
      </c>
      <c r="H7">
        <v>90</v>
      </c>
      <c r="I7">
        <v>27</v>
      </c>
      <c r="J7">
        <v>66</v>
      </c>
      <c r="K7">
        <v>3</v>
      </c>
      <c r="L7" t="s">
        <v>27</v>
      </c>
      <c r="M7">
        <v>4.4440988643822896</v>
      </c>
      <c r="N7" t="s">
        <v>52</v>
      </c>
      <c r="O7" t="s">
        <v>53</v>
      </c>
      <c r="P7">
        <v>10</v>
      </c>
      <c r="Q7">
        <v>104</v>
      </c>
      <c r="R7">
        <v>17</v>
      </c>
      <c r="S7">
        <v>56.766475557431797</v>
      </c>
      <c r="T7" t="s">
        <v>46</v>
      </c>
      <c r="U7">
        <v>2.7791935115711599</v>
      </c>
      <c r="V7" t="s">
        <v>31</v>
      </c>
      <c r="W7" t="s">
        <v>48</v>
      </c>
      <c r="X7">
        <v>235.461236735537</v>
      </c>
    </row>
    <row r="8" spans="1:24">
      <c r="A8" t="s">
        <v>33</v>
      </c>
      <c r="B8" t="s">
        <v>54</v>
      </c>
      <c r="C8">
        <v>4.0783328631079403</v>
      </c>
      <c r="D8">
        <v>48</v>
      </c>
      <c r="E8">
        <v>65</v>
      </c>
      <c r="F8">
        <v>7823.4765595317303</v>
      </c>
      <c r="G8" t="s">
        <v>55</v>
      </c>
      <c r="H8">
        <v>11</v>
      </c>
      <c r="I8">
        <v>15</v>
      </c>
      <c r="J8">
        <v>58</v>
      </c>
      <c r="K8">
        <v>8</v>
      </c>
      <c r="L8" t="s">
        <v>43</v>
      </c>
      <c r="M8">
        <v>3.8807633029519999</v>
      </c>
      <c r="N8" t="s">
        <v>28</v>
      </c>
      <c r="O8" t="s">
        <v>45</v>
      </c>
      <c r="P8">
        <v>14</v>
      </c>
      <c r="Q8">
        <v>314</v>
      </c>
      <c r="R8">
        <v>24</v>
      </c>
      <c r="S8">
        <v>1.0850685695870601</v>
      </c>
      <c r="T8" t="s">
        <v>30</v>
      </c>
      <c r="U8">
        <v>1.0009106193041299</v>
      </c>
      <c r="V8" t="s">
        <v>56</v>
      </c>
      <c r="W8" t="s">
        <v>48</v>
      </c>
      <c r="X8">
        <v>134.36909686103101</v>
      </c>
    </row>
    <row r="9" spans="1:24">
      <c r="A9" t="s">
        <v>57</v>
      </c>
      <c r="B9" t="s">
        <v>58</v>
      </c>
      <c r="C9">
        <v>42.958384382459997</v>
      </c>
      <c r="D9">
        <v>59</v>
      </c>
      <c r="E9">
        <v>426</v>
      </c>
      <c r="F9">
        <v>8496.1038130898305</v>
      </c>
      <c r="G9" t="s">
        <v>35</v>
      </c>
      <c r="H9">
        <v>93</v>
      </c>
      <c r="I9">
        <v>17</v>
      </c>
      <c r="J9">
        <v>11</v>
      </c>
      <c r="K9">
        <v>1</v>
      </c>
      <c r="L9" t="s">
        <v>27</v>
      </c>
      <c r="M9">
        <v>2.3483387844177801</v>
      </c>
      <c r="N9" t="s">
        <v>52</v>
      </c>
      <c r="O9" t="s">
        <v>53</v>
      </c>
      <c r="P9">
        <v>22</v>
      </c>
      <c r="Q9">
        <v>564</v>
      </c>
      <c r="R9">
        <v>1</v>
      </c>
      <c r="S9">
        <v>99.466108603599096</v>
      </c>
      <c r="T9" t="s">
        <v>46</v>
      </c>
      <c r="U9">
        <v>0.39817718685065001</v>
      </c>
      <c r="V9" t="s">
        <v>31</v>
      </c>
      <c r="W9" t="s">
        <v>41</v>
      </c>
      <c r="X9">
        <v>802.05631181755803</v>
      </c>
    </row>
    <row r="10" spans="1:24">
      <c r="A10" t="s">
        <v>57</v>
      </c>
      <c r="B10" t="s">
        <v>59</v>
      </c>
      <c r="C10">
        <v>68.717596748527299</v>
      </c>
      <c r="D10">
        <v>78</v>
      </c>
      <c r="E10">
        <v>150</v>
      </c>
      <c r="F10">
        <v>7517.3632106311197</v>
      </c>
      <c r="G10" t="s">
        <v>35</v>
      </c>
      <c r="H10">
        <v>5</v>
      </c>
      <c r="I10">
        <v>10</v>
      </c>
      <c r="J10">
        <v>15</v>
      </c>
      <c r="K10">
        <v>7</v>
      </c>
      <c r="L10" t="s">
        <v>43</v>
      </c>
      <c r="M10">
        <v>3.4047338570830199</v>
      </c>
      <c r="N10" t="s">
        <v>52</v>
      </c>
      <c r="O10" t="s">
        <v>29</v>
      </c>
      <c r="P10">
        <v>13</v>
      </c>
      <c r="Q10">
        <v>769</v>
      </c>
      <c r="R10">
        <v>8</v>
      </c>
      <c r="S10">
        <v>11.423027139565599</v>
      </c>
      <c r="T10" t="s">
        <v>30</v>
      </c>
      <c r="U10">
        <v>2.7098626911099601</v>
      </c>
      <c r="V10" t="s">
        <v>56</v>
      </c>
      <c r="W10" t="s">
        <v>32</v>
      </c>
      <c r="X10">
        <v>505.55713422546398</v>
      </c>
    </row>
    <row r="11" spans="1:24">
      <c r="A11" t="s">
        <v>33</v>
      </c>
      <c r="B11" t="s">
        <v>60</v>
      </c>
      <c r="C11">
        <v>64.0157329412785</v>
      </c>
      <c r="D11">
        <v>35</v>
      </c>
      <c r="E11">
        <v>980</v>
      </c>
      <c r="F11">
        <v>4971.1459875855498</v>
      </c>
      <c r="G11" t="s">
        <v>38</v>
      </c>
      <c r="H11">
        <v>14</v>
      </c>
      <c r="I11">
        <v>27</v>
      </c>
      <c r="J11">
        <v>83</v>
      </c>
      <c r="K11">
        <v>1</v>
      </c>
      <c r="L11" t="s">
        <v>36</v>
      </c>
      <c r="M11">
        <v>7.1666452910482104</v>
      </c>
      <c r="N11" t="s">
        <v>61</v>
      </c>
      <c r="O11" t="s">
        <v>62</v>
      </c>
      <c r="P11">
        <v>29</v>
      </c>
      <c r="Q11">
        <v>963</v>
      </c>
      <c r="R11">
        <v>23</v>
      </c>
      <c r="S11">
        <v>47.957601634951502</v>
      </c>
      <c r="T11" t="s">
        <v>30</v>
      </c>
      <c r="U11">
        <v>3.8446144787675798</v>
      </c>
      <c r="V11" t="s">
        <v>47</v>
      </c>
      <c r="W11" t="s">
        <v>32</v>
      </c>
      <c r="X11">
        <v>995.92946149864099</v>
      </c>
    </row>
    <row r="12" spans="1:24">
      <c r="A12" t="s">
        <v>33</v>
      </c>
      <c r="B12" t="s">
        <v>63</v>
      </c>
      <c r="C12">
        <v>15.707795681912099</v>
      </c>
      <c r="D12">
        <v>11</v>
      </c>
      <c r="E12">
        <v>996</v>
      </c>
      <c r="F12">
        <v>2330.9658020919401</v>
      </c>
      <c r="G12" t="s">
        <v>26</v>
      </c>
      <c r="H12">
        <v>51</v>
      </c>
      <c r="I12">
        <v>13</v>
      </c>
      <c r="J12">
        <v>80</v>
      </c>
      <c r="K12">
        <v>2</v>
      </c>
      <c r="L12" t="s">
        <v>43</v>
      </c>
      <c r="M12">
        <v>8.6732112112786108</v>
      </c>
      <c r="N12" t="s">
        <v>44</v>
      </c>
      <c r="O12" t="s">
        <v>45</v>
      </c>
      <c r="P12">
        <v>18</v>
      </c>
      <c r="Q12">
        <v>830</v>
      </c>
      <c r="R12">
        <v>5</v>
      </c>
      <c r="S12">
        <v>96.527352785310896</v>
      </c>
      <c r="T12" t="s">
        <v>64</v>
      </c>
      <c r="U12">
        <v>1.72731392835594</v>
      </c>
      <c r="V12" t="s">
        <v>31</v>
      </c>
      <c r="W12" t="s">
        <v>32</v>
      </c>
      <c r="X12">
        <v>806.10317770292295</v>
      </c>
    </row>
    <row r="13" spans="1:24">
      <c r="A13" t="s">
        <v>33</v>
      </c>
      <c r="B13" t="s">
        <v>65</v>
      </c>
      <c r="C13">
        <v>90.635459982288594</v>
      </c>
      <c r="D13">
        <v>95</v>
      </c>
      <c r="E13">
        <v>960</v>
      </c>
      <c r="F13">
        <v>6099.9441155814502</v>
      </c>
      <c r="G13" t="s">
        <v>35</v>
      </c>
      <c r="H13">
        <v>46</v>
      </c>
      <c r="I13">
        <v>23</v>
      </c>
      <c r="J13">
        <v>60</v>
      </c>
      <c r="K13">
        <v>1</v>
      </c>
      <c r="L13" t="s">
        <v>36</v>
      </c>
      <c r="M13">
        <v>4.5239431243166601</v>
      </c>
      <c r="N13" t="s">
        <v>61</v>
      </c>
      <c r="O13" t="s">
        <v>45</v>
      </c>
      <c r="P13">
        <v>28</v>
      </c>
      <c r="Q13">
        <v>362</v>
      </c>
      <c r="R13">
        <v>11</v>
      </c>
      <c r="S13">
        <v>27.5923630866636</v>
      </c>
      <c r="T13" t="s">
        <v>30</v>
      </c>
      <c r="U13">
        <v>2.1169821372994301E-2</v>
      </c>
      <c r="V13" t="s">
        <v>40</v>
      </c>
      <c r="W13" t="s">
        <v>48</v>
      </c>
      <c r="X13">
        <v>126.72303340940699</v>
      </c>
    </row>
    <row r="14" spans="1:24">
      <c r="A14" t="s">
        <v>24</v>
      </c>
      <c r="B14" t="s">
        <v>66</v>
      </c>
      <c r="C14">
        <v>71.213389075359999</v>
      </c>
      <c r="D14">
        <v>41</v>
      </c>
      <c r="E14">
        <v>336</v>
      </c>
      <c r="F14">
        <v>2873.74144602144</v>
      </c>
      <c r="G14" t="s">
        <v>38</v>
      </c>
      <c r="H14">
        <v>100</v>
      </c>
      <c r="I14">
        <v>30</v>
      </c>
      <c r="J14">
        <v>85</v>
      </c>
      <c r="K14">
        <v>4</v>
      </c>
      <c r="L14" t="s">
        <v>36</v>
      </c>
      <c r="M14">
        <v>1.32527401018452</v>
      </c>
      <c r="N14" t="s">
        <v>52</v>
      </c>
      <c r="O14" t="s">
        <v>45</v>
      </c>
      <c r="P14">
        <v>3</v>
      </c>
      <c r="Q14">
        <v>563</v>
      </c>
      <c r="R14">
        <v>3</v>
      </c>
      <c r="S14">
        <v>32.321286213424003</v>
      </c>
      <c r="T14" t="s">
        <v>46</v>
      </c>
      <c r="U14">
        <v>2.1612537475559099</v>
      </c>
      <c r="V14" t="s">
        <v>31</v>
      </c>
      <c r="W14" t="s">
        <v>32</v>
      </c>
      <c r="X14">
        <v>402.96878907376998</v>
      </c>
    </row>
    <row r="15" spans="1:24">
      <c r="A15" t="s">
        <v>33</v>
      </c>
      <c r="B15" t="s">
        <v>67</v>
      </c>
      <c r="C15">
        <v>16.160393317379899</v>
      </c>
      <c r="D15">
        <v>5</v>
      </c>
      <c r="E15">
        <v>249</v>
      </c>
      <c r="F15">
        <v>4052.7384162378598</v>
      </c>
      <c r="G15" t="s">
        <v>55</v>
      </c>
      <c r="H15">
        <v>80</v>
      </c>
      <c r="I15">
        <v>8</v>
      </c>
      <c r="J15">
        <v>48</v>
      </c>
      <c r="K15">
        <v>9</v>
      </c>
      <c r="L15" t="s">
        <v>36</v>
      </c>
      <c r="M15">
        <v>9.5372830611083295</v>
      </c>
      <c r="N15" t="s">
        <v>44</v>
      </c>
      <c r="O15" t="s">
        <v>53</v>
      </c>
      <c r="P15">
        <v>23</v>
      </c>
      <c r="Q15">
        <v>173</v>
      </c>
      <c r="R15">
        <v>10</v>
      </c>
      <c r="S15">
        <v>97.829050110173199</v>
      </c>
      <c r="T15" t="s">
        <v>30</v>
      </c>
      <c r="U15">
        <v>1.63107423007153</v>
      </c>
      <c r="V15" t="s">
        <v>31</v>
      </c>
      <c r="W15" t="s">
        <v>32</v>
      </c>
      <c r="X15">
        <v>547.24100516096803</v>
      </c>
    </row>
    <row r="16" spans="1:24">
      <c r="A16" t="s">
        <v>33</v>
      </c>
      <c r="B16" t="s">
        <v>68</v>
      </c>
      <c r="C16">
        <v>99.171328638624104</v>
      </c>
      <c r="D16">
        <v>26</v>
      </c>
      <c r="E16">
        <v>562</v>
      </c>
      <c r="F16">
        <v>8653.5709264697998</v>
      </c>
      <c r="G16" t="s">
        <v>26</v>
      </c>
      <c r="H16">
        <v>54</v>
      </c>
      <c r="I16">
        <v>29</v>
      </c>
      <c r="J16">
        <v>78</v>
      </c>
      <c r="K16">
        <v>5</v>
      </c>
      <c r="L16" t="s">
        <v>27</v>
      </c>
      <c r="M16">
        <v>2.0397701894493299</v>
      </c>
      <c r="N16" t="s">
        <v>39</v>
      </c>
      <c r="O16" t="s">
        <v>45</v>
      </c>
      <c r="P16">
        <v>25</v>
      </c>
      <c r="Q16">
        <v>558</v>
      </c>
      <c r="R16">
        <v>14</v>
      </c>
      <c r="S16">
        <v>5.7914366298629796</v>
      </c>
      <c r="T16" t="s">
        <v>30</v>
      </c>
      <c r="U16">
        <v>0.100682851565093</v>
      </c>
      <c r="V16" t="s">
        <v>40</v>
      </c>
      <c r="W16" t="s">
        <v>32</v>
      </c>
      <c r="X16">
        <v>929.23528996088896</v>
      </c>
    </row>
    <row r="17" spans="1:24">
      <c r="A17" t="s">
        <v>33</v>
      </c>
      <c r="B17" t="s">
        <v>69</v>
      </c>
      <c r="C17">
        <v>36.989244928626903</v>
      </c>
      <c r="D17">
        <v>94</v>
      </c>
      <c r="E17">
        <v>469</v>
      </c>
      <c r="F17">
        <v>5442.0867853976697</v>
      </c>
      <c r="G17" t="s">
        <v>26</v>
      </c>
      <c r="H17">
        <v>9</v>
      </c>
      <c r="I17">
        <v>8</v>
      </c>
      <c r="J17">
        <v>69</v>
      </c>
      <c r="K17">
        <v>7</v>
      </c>
      <c r="L17" t="s">
        <v>27</v>
      </c>
      <c r="M17">
        <v>2.4220397232752</v>
      </c>
      <c r="N17" t="s">
        <v>39</v>
      </c>
      <c r="O17" t="s">
        <v>53</v>
      </c>
      <c r="P17">
        <v>14</v>
      </c>
      <c r="Q17">
        <v>580</v>
      </c>
      <c r="R17">
        <v>7</v>
      </c>
      <c r="S17">
        <v>97.121281751474299</v>
      </c>
      <c r="T17" t="s">
        <v>64</v>
      </c>
      <c r="U17">
        <v>2.2644057611985402</v>
      </c>
      <c r="V17" t="s">
        <v>56</v>
      </c>
      <c r="W17" t="s">
        <v>32</v>
      </c>
      <c r="X17">
        <v>127.861800001625</v>
      </c>
    </row>
    <row r="18" spans="1:24">
      <c r="A18" t="s">
        <v>33</v>
      </c>
      <c r="B18" t="s">
        <v>70</v>
      </c>
      <c r="C18">
        <v>7.5471721097912701</v>
      </c>
      <c r="D18">
        <v>74</v>
      </c>
      <c r="E18">
        <v>280</v>
      </c>
      <c r="F18">
        <v>6453.7979681762799</v>
      </c>
      <c r="G18" t="s">
        <v>35</v>
      </c>
      <c r="H18">
        <v>2</v>
      </c>
      <c r="I18">
        <v>5</v>
      </c>
      <c r="J18">
        <v>78</v>
      </c>
      <c r="K18">
        <v>1</v>
      </c>
      <c r="L18" t="s">
        <v>27</v>
      </c>
      <c r="M18">
        <v>4.1913245857054999</v>
      </c>
      <c r="N18" t="s">
        <v>39</v>
      </c>
      <c r="O18" t="s">
        <v>53</v>
      </c>
      <c r="P18">
        <v>3</v>
      </c>
      <c r="Q18">
        <v>399</v>
      </c>
      <c r="R18">
        <v>21</v>
      </c>
      <c r="S18">
        <v>77.106342497849994</v>
      </c>
      <c r="T18" t="s">
        <v>64</v>
      </c>
      <c r="U18">
        <v>1.01256308925804</v>
      </c>
      <c r="V18" t="s">
        <v>40</v>
      </c>
      <c r="W18" t="s">
        <v>48</v>
      </c>
      <c r="X18">
        <v>865.52577977123997</v>
      </c>
    </row>
    <row r="19" spans="1:24">
      <c r="A19" t="s">
        <v>57</v>
      </c>
      <c r="B19" t="s">
        <v>71</v>
      </c>
      <c r="C19">
        <v>81.462534369237005</v>
      </c>
      <c r="D19">
        <v>82</v>
      </c>
      <c r="E19">
        <v>126</v>
      </c>
      <c r="F19">
        <v>2629.39643484526</v>
      </c>
      <c r="G19" t="s">
        <v>35</v>
      </c>
      <c r="H19">
        <v>45</v>
      </c>
      <c r="I19">
        <v>17</v>
      </c>
      <c r="J19">
        <v>85</v>
      </c>
      <c r="K19">
        <v>9</v>
      </c>
      <c r="L19" t="s">
        <v>43</v>
      </c>
      <c r="M19">
        <v>3.5854189582323399</v>
      </c>
      <c r="N19" t="s">
        <v>39</v>
      </c>
      <c r="O19" t="s">
        <v>62</v>
      </c>
      <c r="P19">
        <v>7</v>
      </c>
      <c r="Q19">
        <v>453</v>
      </c>
      <c r="R19">
        <v>16</v>
      </c>
      <c r="S19">
        <v>47.679680368355299</v>
      </c>
      <c r="T19" t="s">
        <v>46</v>
      </c>
      <c r="U19">
        <v>0.102020754918176</v>
      </c>
      <c r="V19" t="s">
        <v>40</v>
      </c>
      <c r="W19" t="s">
        <v>41</v>
      </c>
      <c r="X19">
        <v>670.93439079241</v>
      </c>
    </row>
    <row r="20" spans="1:24">
      <c r="A20" t="s">
        <v>24</v>
      </c>
      <c r="B20" t="s">
        <v>72</v>
      </c>
      <c r="C20">
        <v>36.4436277704609</v>
      </c>
      <c r="D20">
        <v>23</v>
      </c>
      <c r="E20">
        <v>620</v>
      </c>
      <c r="F20">
        <v>9364.6735050761708</v>
      </c>
      <c r="G20" t="s">
        <v>38</v>
      </c>
      <c r="H20">
        <v>10</v>
      </c>
      <c r="I20">
        <v>10</v>
      </c>
      <c r="J20">
        <v>46</v>
      </c>
      <c r="K20">
        <v>8</v>
      </c>
      <c r="L20" t="s">
        <v>43</v>
      </c>
      <c r="M20">
        <v>4.3392247141107001</v>
      </c>
      <c r="N20" t="s">
        <v>61</v>
      </c>
      <c r="O20" t="s">
        <v>45</v>
      </c>
      <c r="P20">
        <v>18</v>
      </c>
      <c r="Q20">
        <v>374</v>
      </c>
      <c r="R20">
        <v>17</v>
      </c>
      <c r="S20">
        <v>27.107980854843898</v>
      </c>
      <c r="T20" t="s">
        <v>30</v>
      </c>
      <c r="U20">
        <v>2.2319391107292601</v>
      </c>
      <c r="V20" t="s">
        <v>56</v>
      </c>
      <c r="W20" t="s">
        <v>48</v>
      </c>
      <c r="X20">
        <v>593.48025872065102</v>
      </c>
    </row>
    <row r="21" spans="1:24">
      <c r="A21" t="s">
        <v>33</v>
      </c>
      <c r="B21" t="s">
        <v>73</v>
      </c>
      <c r="C21">
        <v>51.123870087964697</v>
      </c>
      <c r="D21">
        <v>100</v>
      </c>
      <c r="E21">
        <v>187</v>
      </c>
      <c r="F21">
        <v>2553.4955849912099</v>
      </c>
      <c r="G21" t="s">
        <v>38</v>
      </c>
      <c r="H21">
        <v>48</v>
      </c>
      <c r="I21">
        <v>11</v>
      </c>
      <c r="J21">
        <v>94</v>
      </c>
      <c r="K21">
        <v>3</v>
      </c>
      <c r="L21" t="s">
        <v>36</v>
      </c>
      <c r="M21">
        <v>4.7426358828418698</v>
      </c>
      <c r="N21" t="s">
        <v>52</v>
      </c>
      <c r="O21" t="s">
        <v>62</v>
      </c>
      <c r="P21">
        <v>20</v>
      </c>
      <c r="Q21">
        <v>694</v>
      </c>
      <c r="R21">
        <v>16</v>
      </c>
      <c r="S21">
        <v>82.373320587990193</v>
      </c>
      <c r="T21" t="s">
        <v>46</v>
      </c>
      <c r="U21">
        <v>3.64645086541702</v>
      </c>
      <c r="V21" t="s">
        <v>31</v>
      </c>
      <c r="W21" t="s">
        <v>41</v>
      </c>
      <c r="X21">
        <v>477.30763109090299</v>
      </c>
    </row>
    <row r="22" spans="1:24">
      <c r="A22" t="s">
        <v>33</v>
      </c>
      <c r="B22" t="s">
        <v>74</v>
      </c>
      <c r="C22">
        <v>96.341072439963298</v>
      </c>
      <c r="D22">
        <v>22</v>
      </c>
      <c r="E22">
        <v>320</v>
      </c>
      <c r="F22">
        <v>8128.0276968511898</v>
      </c>
      <c r="G22" t="s">
        <v>38</v>
      </c>
      <c r="H22">
        <v>27</v>
      </c>
      <c r="I22">
        <v>12</v>
      </c>
      <c r="J22">
        <v>68</v>
      </c>
      <c r="K22">
        <v>6</v>
      </c>
      <c r="L22" t="s">
        <v>36</v>
      </c>
      <c r="M22">
        <v>8.8783346509268402</v>
      </c>
      <c r="N22" t="s">
        <v>39</v>
      </c>
      <c r="O22" t="s">
        <v>62</v>
      </c>
      <c r="P22">
        <v>29</v>
      </c>
      <c r="Q22">
        <v>309</v>
      </c>
      <c r="R22">
        <v>6</v>
      </c>
      <c r="S22">
        <v>65.686259608488598</v>
      </c>
      <c r="T22" t="s">
        <v>64</v>
      </c>
      <c r="U22">
        <v>4.2314165735345304</v>
      </c>
      <c r="V22" t="s">
        <v>40</v>
      </c>
      <c r="W22" t="s">
        <v>32</v>
      </c>
      <c r="X22">
        <v>493.871215316205</v>
      </c>
    </row>
    <row r="23" spans="1:24">
      <c r="A23" t="s">
        <v>57</v>
      </c>
      <c r="B23" t="s">
        <v>75</v>
      </c>
      <c r="C23">
        <v>84.893868984950799</v>
      </c>
      <c r="D23">
        <v>60</v>
      </c>
      <c r="E23">
        <v>601</v>
      </c>
      <c r="F23">
        <v>7087.0526963574302</v>
      </c>
      <c r="G23" t="s">
        <v>38</v>
      </c>
      <c r="H23">
        <v>69</v>
      </c>
      <c r="I23">
        <v>25</v>
      </c>
      <c r="J23">
        <v>7</v>
      </c>
      <c r="K23">
        <v>6</v>
      </c>
      <c r="L23" t="s">
        <v>27</v>
      </c>
      <c r="M23">
        <v>6.0378837692182898</v>
      </c>
      <c r="N23" t="s">
        <v>44</v>
      </c>
      <c r="O23" t="s">
        <v>62</v>
      </c>
      <c r="P23">
        <v>19</v>
      </c>
      <c r="Q23">
        <v>791</v>
      </c>
      <c r="R23">
        <v>4</v>
      </c>
      <c r="S23">
        <v>61.735728954160898</v>
      </c>
      <c r="T23" t="s">
        <v>30</v>
      </c>
      <c r="U23">
        <v>1.8607567631014899E-2</v>
      </c>
      <c r="V23" t="s">
        <v>40</v>
      </c>
      <c r="W23" t="s">
        <v>41</v>
      </c>
      <c r="X23">
        <v>523.36091472015801</v>
      </c>
    </row>
    <row r="24" spans="1:24">
      <c r="A24" t="s">
        <v>24</v>
      </c>
      <c r="B24" t="s">
        <v>76</v>
      </c>
      <c r="C24">
        <v>27.679780886501899</v>
      </c>
      <c r="D24">
        <v>55</v>
      </c>
      <c r="E24">
        <v>884</v>
      </c>
      <c r="F24">
        <v>2390.8078665561702</v>
      </c>
      <c r="G24" t="s">
        <v>38</v>
      </c>
      <c r="H24">
        <v>71</v>
      </c>
      <c r="I24">
        <v>1</v>
      </c>
      <c r="J24">
        <v>63</v>
      </c>
      <c r="K24">
        <v>10</v>
      </c>
      <c r="L24" t="s">
        <v>36</v>
      </c>
      <c r="M24">
        <v>9.5676489209230393</v>
      </c>
      <c r="N24" t="s">
        <v>52</v>
      </c>
      <c r="O24" t="s">
        <v>45</v>
      </c>
      <c r="P24">
        <v>22</v>
      </c>
      <c r="Q24">
        <v>780</v>
      </c>
      <c r="R24">
        <v>28</v>
      </c>
      <c r="S24">
        <v>50.120839612977299</v>
      </c>
      <c r="T24" t="s">
        <v>46</v>
      </c>
      <c r="U24">
        <v>2.5912754732111098</v>
      </c>
      <c r="V24" t="s">
        <v>47</v>
      </c>
      <c r="W24" t="s">
        <v>41</v>
      </c>
      <c r="X24">
        <v>205.57199582694699</v>
      </c>
    </row>
    <row r="25" spans="1:24">
      <c r="A25" t="s">
        <v>57</v>
      </c>
      <c r="B25" t="s">
        <v>77</v>
      </c>
      <c r="C25">
        <v>4.3243411858641601</v>
      </c>
      <c r="D25">
        <v>30</v>
      </c>
      <c r="E25">
        <v>391</v>
      </c>
      <c r="F25">
        <v>8858.3675710114803</v>
      </c>
      <c r="G25" t="s">
        <v>38</v>
      </c>
      <c r="H25">
        <v>84</v>
      </c>
      <c r="I25">
        <v>5</v>
      </c>
      <c r="J25">
        <v>29</v>
      </c>
      <c r="K25">
        <v>7</v>
      </c>
      <c r="L25" t="s">
        <v>36</v>
      </c>
      <c r="M25">
        <v>2.92485760114555</v>
      </c>
      <c r="N25" t="s">
        <v>44</v>
      </c>
      <c r="O25" t="s">
        <v>45</v>
      </c>
      <c r="P25">
        <v>11</v>
      </c>
      <c r="Q25">
        <v>568</v>
      </c>
      <c r="R25">
        <v>29</v>
      </c>
      <c r="S25">
        <v>98.6099572427038</v>
      </c>
      <c r="T25" t="s">
        <v>30</v>
      </c>
      <c r="U25">
        <v>1.3422915627227301</v>
      </c>
      <c r="V25" t="s">
        <v>47</v>
      </c>
      <c r="W25" t="s">
        <v>48</v>
      </c>
      <c r="X25">
        <v>196.329446112412</v>
      </c>
    </row>
    <row r="26" spans="1:24">
      <c r="A26" t="s">
        <v>24</v>
      </c>
      <c r="B26" t="s">
        <v>78</v>
      </c>
      <c r="C26">
        <v>4.1563083593111001</v>
      </c>
      <c r="D26">
        <v>32</v>
      </c>
      <c r="E26">
        <v>209</v>
      </c>
      <c r="F26">
        <v>9049.0778609398894</v>
      </c>
      <c r="G26" t="s">
        <v>55</v>
      </c>
      <c r="H26">
        <v>4</v>
      </c>
      <c r="I26">
        <v>26</v>
      </c>
      <c r="J26">
        <v>2</v>
      </c>
      <c r="K26">
        <v>8</v>
      </c>
      <c r="L26" t="s">
        <v>43</v>
      </c>
      <c r="M26">
        <v>9.7412916892843597</v>
      </c>
      <c r="N26" t="s">
        <v>61</v>
      </c>
      <c r="O26" t="s">
        <v>53</v>
      </c>
      <c r="P26">
        <v>28</v>
      </c>
      <c r="Q26">
        <v>447</v>
      </c>
      <c r="R26">
        <v>3</v>
      </c>
      <c r="S26">
        <v>40.382359702924802</v>
      </c>
      <c r="T26" t="s">
        <v>30</v>
      </c>
      <c r="U26">
        <v>3.69131029262872</v>
      </c>
      <c r="V26" t="s">
        <v>40</v>
      </c>
      <c r="W26" t="s">
        <v>48</v>
      </c>
      <c r="X26">
        <v>758.72477260293795</v>
      </c>
    </row>
    <row r="27" spans="1:24">
      <c r="A27" t="s">
        <v>24</v>
      </c>
      <c r="B27" t="s">
        <v>79</v>
      </c>
      <c r="C27">
        <v>39.629343985092603</v>
      </c>
      <c r="D27">
        <v>73</v>
      </c>
      <c r="E27">
        <v>142</v>
      </c>
      <c r="F27">
        <v>2174.7770543506499</v>
      </c>
      <c r="G27" t="s">
        <v>55</v>
      </c>
      <c r="H27">
        <v>82</v>
      </c>
      <c r="I27">
        <v>11</v>
      </c>
      <c r="J27">
        <v>52</v>
      </c>
      <c r="K27">
        <v>3</v>
      </c>
      <c r="L27" t="s">
        <v>43</v>
      </c>
      <c r="M27">
        <v>2.2310736812817198</v>
      </c>
      <c r="N27" t="s">
        <v>52</v>
      </c>
      <c r="O27" t="s">
        <v>45</v>
      </c>
      <c r="P27">
        <v>19</v>
      </c>
      <c r="Q27">
        <v>934</v>
      </c>
      <c r="R27">
        <v>23</v>
      </c>
      <c r="S27">
        <v>78.280383118415301</v>
      </c>
      <c r="T27" t="s">
        <v>30</v>
      </c>
      <c r="U27">
        <v>3.79723121711418</v>
      </c>
      <c r="V27" t="s">
        <v>31</v>
      </c>
      <c r="W27" t="s">
        <v>32</v>
      </c>
      <c r="X27">
        <v>458.53594573920901</v>
      </c>
    </row>
    <row r="28" spans="1:24">
      <c r="A28" t="s">
        <v>24</v>
      </c>
      <c r="B28" t="s">
        <v>80</v>
      </c>
      <c r="C28">
        <v>97.446946617892806</v>
      </c>
      <c r="D28">
        <v>9</v>
      </c>
      <c r="E28">
        <v>353</v>
      </c>
      <c r="F28">
        <v>3716.49332589403</v>
      </c>
      <c r="G28" t="s">
        <v>55</v>
      </c>
      <c r="H28">
        <v>59</v>
      </c>
      <c r="I28">
        <v>16</v>
      </c>
      <c r="J28">
        <v>48</v>
      </c>
      <c r="K28">
        <v>4</v>
      </c>
      <c r="L28" t="s">
        <v>27</v>
      </c>
      <c r="M28">
        <v>6.5075486210785503</v>
      </c>
      <c r="N28" t="s">
        <v>61</v>
      </c>
      <c r="O28" t="s">
        <v>53</v>
      </c>
      <c r="P28">
        <v>26</v>
      </c>
      <c r="Q28">
        <v>171</v>
      </c>
      <c r="R28">
        <v>4</v>
      </c>
      <c r="S28">
        <v>15.972229757181699</v>
      </c>
      <c r="T28" t="s">
        <v>64</v>
      </c>
      <c r="U28">
        <v>2.1193197367249201</v>
      </c>
      <c r="V28" t="s">
        <v>47</v>
      </c>
      <c r="W28" t="s">
        <v>48</v>
      </c>
      <c r="X28">
        <v>617.86691645837698</v>
      </c>
    </row>
    <row r="29" spans="1:24">
      <c r="A29" t="s">
        <v>57</v>
      </c>
      <c r="B29" t="s">
        <v>81</v>
      </c>
      <c r="C29">
        <v>92.557360812401996</v>
      </c>
      <c r="D29">
        <v>42</v>
      </c>
      <c r="E29">
        <v>352</v>
      </c>
      <c r="F29">
        <v>2686.4572235759802</v>
      </c>
      <c r="G29" t="s">
        <v>38</v>
      </c>
      <c r="H29">
        <v>47</v>
      </c>
      <c r="I29">
        <v>9</v>
      </c>
      <c r="J29">
        <v>62</v>
      </c>
      <c r="K29">
        <v>8</v>
      </c>
      <c r="L29" t="s">
        <v>43</v>
      </c>
      <c r="M29">
        <v>7.4067509529980704</v>
      </c>
      <c r="N29" t="s">
        <v>44</v>
      </c>
      <c r="O29" t="s">
        <v>29</v>
      </c>
      <c r="P29">
        <v>25</v>
      </c>
      <c r="Q29">
        <v>291</v>
      </c>
      <c r="R29">
        <v>4</v>
      </c>
      <c r="S29">
        <v>10.5282450700421</v>
      </c>
      <c r="T29" t="s">
        <v>46</v>
      </c>
      <c r="U29">
        <v>2.8646678378833701</v>
      </c>
      <c r="V29" t="s">
        <v>56</v>
      </c>
      <c r="W29" t="s">
        <v>32</v>
      </c>
      <c r="X29">
        <v>762.45918215568304</v>
      </c>
    </row>
    <row r="30" spans="1:24">
      <c r="A30" t="s">
        <v>57</v>
      </c>
      <c r="B30" t="s">
        <v>82</v>
      </c>
      <c r="C30">
        <v>2.3972747055971402</v>
      </c>
      <c r="D30">
        <v>12</v>
      </c>
      <c r="E30">
        <v>394</v>
      </c>
      <c r="F30">
        <v>6117.3246150839896</v>
      </c>
      <c r="G30" t="s">
        <v>35</v>
      </c>
      <c r="H30">
        <v>48</v>
      </c>
      <c r="I30">
        <v>15</v>
      </c>
      <c r="J30">
        <v>24</v>
      </c>
      <c r="K30">
        <v>4</v>
      </c>
      <c r="L30" t="s">
        <v>27</v>
      </c>
      <c r="M30">
        <v>9.8981405080692202</v>
      </c>
      <c r="N30" t="s">
        <v>39</v>
      </c>
      <c r="O30" t="s">
        <v>29</v>
      </c>
      <c r="P30">
        <v>13</v>
      </c>
      <c r="Q30">
        <v>171</v>
      </c>
      <c r="R30">
        <v>7</v>
      </c>
      <c r="S30">
        <v>59.429381810691503</v>
      </c>
      <c r="T30" t="s">
        <v>46</v>
      </c>
      <c r="U30">
        <v>0.81575707929567198</v>
      </c>
      <c r="V30" t="s">
        <v>40</v>
      </c>
      <c r="W30" t="s">
        <v>48</v>
      </c>
      <c r="X30">
        <v>123.437027511827</v>
      </c>
    </row>
    <row r="31" spans="1:24">
      <c r="A31" t="s">
        <v>57</v>
      </c>
      <c r="B31" t="s">
        <v>83</v>
      </c>
      <c r="C31">
        <v>63.447559185207297</v>
      </c>
      <c r="D31">
        <v>3</v>
      </c>
      <c r="E31">
        <v>253</v>
      </c>
      <c r="F31">
        <v>8318.9031946171708</v>
      </c>
      <c r="G31" t="s">
        <v>35</v>
      </c>
      <c r="H31">
        <v>45</v>
      </c>
      <c r="I31">
        <v>5</v>
      </c>
      <c r="J31">
        <v>67</v>
      </c>
      <c r="K31">
        <v>7</v>
      </c>
      <c r="L31" t="s">
        <v>27</v>
      </c>
      <c r="M31">
        <v>8.1009731453970293</v>
      </c>
      <c r="N31" t="s">
        <v>39</v>
      </c>
      <c r="O31" t="s">
        <v>45</v>
      </c>
      <c r="P31">
        <v>16</v>
      </c>
      <c r="Q31">
        <v>329</v>
      </c>
      <c r="R31">
        <v>7</v>
      </c>
      <c r="S31">
        <v>39.292875586065698</v>
      </c>
      <c r="T31" t="s">
        <v>64</v>
      </c>
      <c r="U31">
        <v>3.8780989365884802</v>
      </c>
      <c r="V31" t="s">
        <v>31</v>
      </c>
      <c r="W31" t="s">
        <v>32</v>
      </c>
      <c r="X31">
        <v>764.93537594070801</v>
      </c>
    </row>
    <row r="32" spans="1:24">
      <c r="A32" t="s">
        <v>24</v>
      </c>
      <c r="B32" t="s">
        <v>84</v>
      </c>
      <c r="C32">
        <v>8.0228592105263896</v>
      </c>
      <c r="D32">
        <v>10</v>
      </c>
      <c r="E32">
        <v>327</v>
      </c>
      <c r="F32">
        <v>2766.3423668660798</v>
      </c>
      <c r="G32" t="s">
        <v>55</v>
      </c>
      <c r="H32">
        <v>60</v>
      </c>
      <c r="I32">
        <v>26</v>
      </c>
      <c r="J32">
        <v>35</v>
      </c>
      <c r="K32">
        <v>7</v>
      </c>
      <c r="L32" t="s">
        <v>27</v>
      </c>
      <c r="M32">
        <v>8.9545283153180097</v>
      </c>
      <c r="N32" t="s">
        <v>52</v>
      </c>
      <c r="O32" t="s">
        <v>45</v>
      </c>
      <c r="P32">
        <v>27</v>
      </c>
      <c r="Q32">
        <v>806</v>
      </c>
      <c r="R32">
        <v>30</v>
      </c>
      <c r="S32">
        <v>51.634893400109299</v>
      </c>
      <c r="T32" t="s">
        <v>30</v>
      </c>
      <c r="U32">
        <v>0.96539470535239302</v>
      </c>
      <c r="V32" t="s">
        <v>31</v>
      </c>
      <c r="W32" t="s">
        <v>41</v>
      </c>
      <c r="X32">
        <v>880.08098824716103</v>
      </c>
    </row>
    <row r="33" spans="1:24">
      <c r="A33" t="s">
        <v>33</v>
      </c>
      <c r="B33" t="s">
        <v>85</v>
      </c>
      <c r="C33">
        <v>50.847393051718697</v>
      </c>
      <c r="D33">
        <v>28</v>
      </c>
      <c r="E33">
        <v>168</v>
      </c>
      <c r="F33">
        <v>9655.1351027193905</v>
      </c>
      <c r="G33" t="s">
        <v>55</v>
      </c>
      <c r="H33">
        <v>6</v>
      </c>
      <c r="I33">
        <v>17</v>
      </c>
      <c r="J33">
        <v>44</v>
      </c>
      <c r="K33">
        <v>4</v>
      </c>
      <c r="L33" t="s">
        <v>27</v>
      </c>
      <c r="M33">
        <v>2.6796609649813998</v>
      </c>
      <c r="N33" t="s">
        <v>28</v>
      </c>
      <c r="O33" t="s">
        <v>62</v>
      </c>
      <c r="P33">
        <v>24</v>
      </c>
      <c r="Q33">
        <v>461</v>
      </c>
      <c r="R33">
        <v>8</v>
      </c>
      <c r="S33">
        <v>60.251145661598002</v>
      </c>
      <c r="T33" t="s">
        <v>30</v>
      </c>
      <c r="U33">
        <v>2.9890000066550702</v>
      </c>
      <c r="V33" t="s">
        <v>47</v>
      </c>
      <c r="W33" t="s">
        <v>41</v>
      </c>
      <c r="X33">
        <v>609.379206618426</v>
      </c>
    </row>
    <row r="34" spans="1:24">
      <c r="A34" t="s">
        <v>33</v>
      </c>
      <c r="B34" t="s">
        <v>86</v>
      </c>
      <c r="C34">
        <v>79.209936015656695</v>
      </c>
      <c r="D34">
        <v>43</v>
      </c>
      <c r="E34">
        <v>781</v>
      </c>
      <c r="F34">
        <v>9571.5504873278096</v>
      </c>
      <c r="G34" t="s">
        <v>38</v>
      </c>
      <c r="H34">
        <v>89</v>
      </c>
      <c r="I34">
        <v>13</v>
      </c>
      <c r="J34">
        <v>64</v>
      </c>
      <c r="K34">
        <v>4</v>
      </c>
      <c r="L34" t="s">
        <v>43</v>
      </c>
      <c r="M34">
        <v>6.5991049012385803</v>
      </c>
      <c r="N34" t="s">
        <v>28</v>
      </c>
      <c r="O34" t="s">
        <v>45</v>
      </c>
      <c r="P34">
        <v>30</v>
      </c>
      <c r="Q34">
        <v>737</v>
      </c>
      <c r="R34">
        <v>7</v>
      </c>
      <c r="S34">
        <v>29.6924671537497</v>
      </c>
      <c r="T34" t="s">
        <v>64</v>
      </c>
      <c r="U34">
        <v>1.94603611938611</v>
      </c>
      <c r="V34" t="s">
        <v>31</v>
      </c>
      <c r="W34" t="s">
        <v>48</v>
      </c>
      <c r="X34">
        <v>761.17390951487698</v>
      </c>
    </row>
    <row r="35" spans="1:24">
      <c r="A35" t="s">
        <v>57</v>
      </c>
      <c r="B35" t="s">
        <v>87</v>
      </c>
      <c r="C35">
        <v>64.795435000155607</v>
      </c>
      <c r="D35">
        <v>63</v>
      </c>
      <c r="E35">
        <v>616</v>
      </c>
      <c r="F35">
        <v>5149.9983504080301</v>
      </c>
      <c r="G35" t="s">
        <v>26</v>
      </c>
      <c r="H35">
        <v>4</v>
      </c>
      <c r="I35">
        <v>17</v>
      </c>
      <c r="J35">
        <v>95</v>
      </c>
      <c r="K35">
        <v>9</v>
      </c>
      <c r="L35" t="s">
        <v>43</v>
      </c>
      <c r="M35">
        <v>4.85827050343664</v>
      </c>
      <c r="N35" t="s">
        <v>44</v>
      </c>
      <c r="O35" t="s">
        <v>62</v>
      </c>
      <c r="P35">
        <v>1</v>
      </c>
      <c r="Q35">
        <v>251</v>
      </c>
      <c r="R35">
        <v>23</v>
      </c>
      <c r="S35">
        <v>23.853427512896101</v>
      </c>
      <c r="T35" t="s">
        <v>46</v>
      </c>
      <c r="U35">
        <v>3.54104601225092</v>
      </c>
      <c r="V35" t="s">
        <v>56</v>
      </c>
      <c r="W35" t="s">
        <v>48</v>
      </c>
      <c r="X35">
        <v>371.25529551987103</v>
      </c>
    </row>
    <row r="36" spans="1:24">
      <c r="A36" t="s">
        <v>33</v>
      </c>
      <c r="B36" t="s">
        <v>88</v>
      </c>
      <c r="C36">
        <v>37.467592329842397</v>
      </c>
      <c r="D36">
        <v>96</v>
      </c>
      <c r="E36">
        <v>602</v>
      </c>
      <c r="F36">
        <v>9061.7108955077201</v>
      </c>
      <c r="G36" t="s">
        <v>38</v>
      </c>
      <c r="H36">
        <v>1</v>
      </c>
      <c r="I36">
        <v>26</v>
      </c>
      <c r="J36">
        <v>21</v>
      </c>
      <c r="K36">
        <v>7</v>
      </c>
      <c r="L36" t="s">
        <v>36</v>
      </c>
      <c r="M36">
        <v>1.0194875708221101</v>
      </c>
      <c r="N36" t="s">
        <v>39</v>
      </c>
      <c r="O36" t="s">
        <v>62</v>
      </c>
      <c r="P36">
        <v>4</v>
      </c>
      <c r="Q36">
        <v>452</v>
      </c>
      <c r="R36">
        <v>10</v>
      </c>
      <c r="S36">
        <v>10.754272815029299</v>
      </c>
      <c r="T36" t="s">
        <v>64</v>
      </c>
      <c r="U36">
        <v>0.64660455937205397</v>
      </c>
      <c r="V36" t="s">
        <v>31</v>
      </c>
      <c r="W36" t="s">
        <v>32</v>
      </c>
      <c r="X36">
        <v>510.35800043352299</v>
      </c>
    </row>
    <row r="37" spans="1:24">
      <c r="A37" t="s">
        <v>57</v>
      </c>
      <c r="B37" t="s">
        <v>89</v>
      </c>
      <c r="C37">
        <v>84.957786816350406</v>
      </c>
      <c r="D37">
        <v>11</v>
      </c>
      <c r="E37">
        <v>449</v>
      </c>
      <c r="F37">
        <v>6541.3293448024597</v>
      </c>
      <c r="G37" t="s">
        <v>35</v>
      </c>
      <c r="H37">
        <v>42</v>
      </c>
      <c r="I37">
        <v>27</v>
      </c>
      <c r="J37">
        <v>85</v>
      </c>
      <c r="K37">
        <v>8</v>
      </c>
      <c r="L37" t="s">
        <v>43</v>
      </c>
      <c r="M37">
        <v>5.2881899903273997</v>
      </c>
      <c r="N37" t="s">
        <v>39</v>
      </c>
      <c r="O37" t="s">
        <v>50</v>
      </c>
      <c r="P37">
        <v>3</v>
      </c>
      <c r="Q37">
        <v>367</v>
      </c>
      <c r="R37">
        <v>2</v>
      </c>
      <c r="S37">
        <v>58.004787044743701</v>
      </c>
      <c r="T37" t="s">
        <v>64</v>
      </c>
      <c r="U37">
        <v>0.54115409806058101</v>
      </c>
      <c r="V37" t="s">
        <v>56</v>
      </c>
      <c r="W37" t="s">
        <v>41</v>
      </c>
      <c r="X37">
        <v>553.42047123035502</v>
      </c>
    </row>
    <row r="38" spans="1:24">
      <c r="A38" t="s">
        <v>33</v>
      </c>
      <c r="B38" t="s">
        <v>90</v>
      </c>
      <c r="C38">
        <v>9.81300257875405</v>
      </c>
      <c r="D38">
        <v>34</v>
      </c>
      <c r="E38">
        <v>963</v>
      </c>
      <c r="F38">
        <v>7573.4024578487297</v>
      </c>
      <c r="G38" t="s">
        <v>35</v>
      </c>
      <c r="H38">
        <v>18</v>
      </c>
      <c r="I38">
        <v>23</v>
      </c>
      <c r="J38">
        <v>28</v>
      </c>
      <c r="K38">
        <v>3</v>
      </c>
      <c r="L38" t="s">
        <v>27</v>
      </c>
      <c r="M38">
        <v>2.1079512671590801</v>
      </c>
      <c r="N38" t="s">
        <v>61</v>
      </c>
      <c r="O38" t="s">
        <v>50</v>
      </c>
      <c r="P38">
        <v>26</v>
      </c>
      <c r="Q38">
        <v>671</v>
      </c>
      <c r="R38">
        <v>19</v>
      </c>
      <c r="S38">
        <v>45.531364237162101</v>
      </c>
      <c r="T38" t="s">
        <v>46</v>
      </c>
      <c r="U38">
        <v>3.8055333792433501</v>
      </c>
      <c r="V38" t="s">
        <v>40</v>
      </c>
      <c r="W38" t="s">
        <v>41</v>
      </c>
      <c r="X38">
        <v>403.80897424817999</v>
      </c>
    </row>
    <row r="39" spans="1:24">
      <c r="A39" t="s">
        <v>33</v>
      </c>
      <c r="B39" t="s">
        <v>91</v>
      </c>
      <c r="C39">
        <v>23.3998447526143</v>
      </c>
      <c r="D39">
        <v>5</v>
      </c>
      <c r="E39">
        <v>963</v>
      </c>
      <c r="F39">
        <v>2438.3399304700201</v>
      </c>
      <c r="G39" t="s">
        <v>35</v>
      </c>
      <c r="H39">
        <v>25</v>
      </c>
      <c r="I39">
        <v>8</v>
      </c>
      <c r="J39">
        <v>21</v>
      </c>
      <c r="K39">
        <v>9</v>
      </c>
      <c r="L39" t="s">
        <v>36</v>
      </c>
      <c r="M39">
        <v>1.53265527359043</v>
      </c>
      <c r="N39" t="s">
        <v>28</v>
      </c>
      <c r="O39" t="s">
        <v>45</v>
      </c>
      <c r="P39">
        <v>24</v>
      </c>
      <c r="Q39">
        <v>867</v>
      </c>
      <c r="R39">
        <v>15</v>
      </c>
      <c r="S39">
        <v>34.343277465075303</v>
      </c>
      <c r="T39" t="s">
        <v>30</v>
      </c>
      <c r="U39">
        <v>2.61028808484811</v>
      </c>
      <c r="V39" t="s">
        <v>56</v>
      </c>
      <c r="W39" t="s">
        <v>48</v>
      </c>
      <c r="X39">
        <v>183.932968043594</v>
      </c>
    </row>
    <row r="40" spans="1:24">
      <c r="A40" t="s">
        <v>57</v>
      </c>
      <c r="B40" t="s">
        <v>92</v>
      </c>
      <c r="C40">
        <v>52.075930682707799</v>
      </c>
      <c r="D40">
        <v>75</v>
      </c>
      <c r="E40">
        <v>705</v>
      </c>
      <c r="F40">
        <v>9692.3180402184298</v>
      </c>
      <c r="G40" t="s">
        <v>26</v>
      </c>
      <c r="H40">
        <v>69</v>
      </c>
      <c r="I40">
        <v>1</v>
      </c>
      <c r="J40">
        <v>88</v>
      </c>
      <c r="K40">
        <v>5</v>
      </c>
      <c r="L40" t="s">
        <v>27</v>
      </c>
      <c r="M40">
        <v>9.2359314372492207</v>
      </c>
      <c r="N40" t="s">
        <v>44</v>
      </c>
      <c r="O40" t="s">
        <v>29</v>
      </c>
      <c r="P40">
        <v>10</v>
      </c>
      <c r="Q40">
        <v>841</v>
      </c>
      <c r="R40">
        <v>12</v>
      </c>
      <c r="S40">
        <v>5.9306936455283097</v>
      </c>
      <c r="T40" t="s">
        <v>30</v>
      </c>
      <c r="U40">
        <v>0.613326899164507</v>
      </c>
      <c r="V40" t="s">
        <v>40</v>
      </c>
      <c r="W40" t="s">
        <v>32</v>
      </c>
      <c r="X40">
        <v>339.67286994860598</v>
      </c>
    </row>
    <row r="41" spans="1:24">
      <c r="A41" t="s">
        <v>33</v>
      </c>
      <c r="B41" t="s">
        <v>93</v>
      </c>
      <c r="C41">
        <v>19.127477265823199</v>
      </c>
      <c r="D41">
        <v>26</v>
      </c>
      <c r="E41">
        <v>176</v>
      </c>
      <c r="F41">
        <v>1912.4656631007599</v>
      </c>
      <c r="G41" t="s">
        <v>35</v>
      </c>
      <c r="H41">
        <v>78</v>
      </c>
      <c r="I41">
        <v>29</v>
      </c>
      <c r="J41">
        <v>34</v>
      </c>
      <c r="K41">
        <v>3</v>
      </c>
      <c r="L41" t="s">
        <v>36</v>
      </c>
      <c r="M41">
        <v>5.5625037788303802</v>
      </c>
      <c r="N41" t="s">
        <v>61</v>
      </c>
      <c r="O41" t="s">
        <v>45</v>
      </c>
      <c r="P41">
        <v>30</v>
      </c>
      <c r="Q41">
        <v>791</v>
      </c>
      <c r="R41">
        <v>6</v>
      </c>
      <c r="S41">
        <v>9.0058074287816403</v>
      </c>
      <c r="T41" t="s">
        <v>46</v>
      </c>
      <c r="U41">
        <v>1.4519722039968099</v>
      </c>
      <c r="V41" t="s">
        <v>40</v>
      </c>
      <c r="W41" t="s">
        <v>32</v>
      </c>
      <c r="X41">
        <v>653.67299455203295</v>
      </c>
    </row>
    <row r="42" spans="1:24">
      <c r="A42" t="s">
        <v>33</v>
      </c>
      <c r="B42" t="s">
        <v>94</v>
      </c>
      <c r="C42">
        <v>80.541424170940303</v>
      </c>
      <c r="D42">
        <v>97</v>
      </c>
      <c r="E42">
        <v>933</v>
      </c>
      <c r="F42">
        <v>5724.9593504562599</v>
      </c>
      <c r="G42" t="s">
        <v>35</v>
      </c>
      <c r="H42">
        <v>90</v>
      </c>
      <c r="I42">
        <v>20</v>
      </c>
      <c r="J42">
        <v>39</v>
      </c>
      <c r="K42">
        <v>8</v>
      </c>
      <c r="L42" t="s">
        <v>43</v>
      </c>
      <c r="M42">
        <v>7.2295951397364702</v>
      </c>
      <c r="N42" t="s">
        <v>39</v>
      </c>
      <c r="O42" t="s">
        <v>45</v>
      </c>
      <c r="P42">
        <v>18</v>
      </c>
      <c r="Q42">
        <v>793</v>
      </c>
      <c r="R42">
        <v>1</v>
      </c>
      <c r="S42">
        <v>88.179407104217404</v>
      </c>
      <c r="T42" t="s">
        <v>30</v>
      </c>
      <c r="U42">
        <v>4.2132694305865597</v>
      </c>
      <c r="V42" t="s">
        <v>31</v>
      </c>
      <c r="W42" t="s">
        <v>48</v>
      </c>
      <c r="X42">
        <v>529.80872398069096</v>
      </c>
    </row>
    <row r="43" spans="1:24">
      <c r="A43" t="s">
        <v>33</v>
      </c>
      <c r="B43" t="s">
        <v>95</v>
      </c>
      <c r="C43">
        <v>99.113291615317095</v>
      </c>
      <c r="D43">
        <v>35</v>
      </c>
      <c r="E43">
        <v>556</v>
      </c>
      <c r="F43">
        <v>5521.2052590109697</v>
      </c>
      <c r="G43" t="s">
        <v>35</v>
      </c>
      <c r="H43">
        <v>64</v>
      </c>
      <c r="I43">
        <v>19</v>
      </c>
      <c r="J43">
        <v>38</v>
      </c>
      <c r="K43">
        <v>8</v>
      </c>
      <c r="L43" t="s">
        <v>27</v>
      </c>
      <c r="M43">
        <v>5.7732637437666501</v>
      </c>
      <c r="N43" t="s">
        <v>52</v>
      </c>
      <c r="O43" t="s">
        <v>62</v>
      </c>
      <c r="P43">
        <v>18</v>
      </c>
      <c r="Q43">
        <v>892</v>
      </c>
      <c r="R43">
        <v>7</v>
      </c>
      <c r="S43">
        <v>95.332064548772493</v>
      </c>
      <c r="T43" t="s">
        <v>46</v>
      </c>
      <c r="U43">
        <v>4.5302262398259602E-2</v>
      </c>
      <c r="V43" t="s">
        <v>56</v>
      </c>
      <c r="W43" t="s">
        <v>48</v>
      </c>
      <c r="X43">
        <v>275.52437113130901</v>
      </c>
    </row>
    <row r="44" spans="1:24">
      <c r="A44" t="s">
        <v>33</v>
      </c>
      <c r="B44" t="s">
        <v>96</v>
      </c>
      <c r="C44">
        <v>46.529167614516702</v>
      </c>
      <c r="D44">
        <v>98</v>
      </c>
      <c r="E44">
        <v>155</v>
      </c>
      <c r="F44">
        <v>1839.60942585676</v>
      </c>
      <c r="G44" t="s">
        <v>35</v>
      </c>
      <c r="H44">
        <v>22</v>
      </c>
      <c r="I44">
        <v>27</v>
      </c>
      <c r="J44">
        <v>57</v>
      </c>
      <c r="K44">
        <v>4</v>
      </c>
      <c r="L44" t="s">
        <v>43</v>
      </c>
      <c r="M44">
        <v>7.5262483268515004</v>
      </c>
      <c r="N44" t="s">
        <v>44</v>
      </c>
      <c r="O44" t="s">
        <v>53</v>
      </c>
      <c r="P44">
        <v>26</v>
      </c>
      <c r="Q44">
        <v>179</v>
      </c>
      <c r="R44">
        <v>7</v>
      </c>
      <c r="S44">
        <v>96.422820639571796</v>
      </c>
      <c r="T44" t="s">
        <v>46</v>
      </c>
      <c r="U44">
        <v>4.9392552886209398</v>
      </c>
      <c r="V44" t="s">
        <v>31</v>
      </c>
      <c r="W44" t="s">
        <v>48</v>
      </c>
      <c r="X44">
        <v>635.65712050199102</v>
      </c>
    </row>
    <row r="45" spans="1:24">
      <c r="A45" t="s">
        <v>24</v>
      </c>
      <c r="B45" t="s">
        <v>97</v>
      </c>
      <c r="C45">
        <v>11.7432717763092</v>
      </c>
      <c r="D45">
        <v>6</v>
      </c>
      <c r="E45">
        <v>598</v>
      </c>
      <c r="F45">
        <v>5737.4255991190203</v>
      </c>
      <c r="G45" t="s">
        <v>38</v>
      </c>
      <c r="H45">
        <v>36</v>
      </c>
      <c r="I45">
        <v>29</v>
      </c>
      <c r="J45">
        <v>85</v>
      </c>
      <c r="K45">
        <v>9</v>
      </c>
      <c r="L45" t="s">
        <v>27</v>
      </c>
      <c r="M45">
        <v>3.6940212683884499</v>
      </c>
      <c r="N45" t="s">
        <v>44</v>
      </c>
      <c r="O45" t="s">
        <v>29</v>
      </c>
      <c r="P45">
        <v>1</v>
      </c>
      <c r="Q45">
        <v>206</v>
      </c>
      <c r="R45">
        <v>23</v>
      </c>
      <c r="S45">
        <v>26.2773659573324</v>
      </c>
      <c r="T45" t="s">
        <v>30</v>
      </c>
      <c r="U45">
        <v>0.37230476798509698</v>
      </c>
      <c r="V45" t="s">
        <v>40</v>
      </c>
      <c r="W45" t="s">
        <v>48</v>
      </c>
      <c r="X45">
        <v>716.04411975933999</v>
      </c>
    </row>
    <row r="46" spans="1:24">
      <c r="A46" t="s">
        <v>57</v>
      </c>
      <c r="B46" t="s">
        <v>98</v>
      </c>
      <c r="C46">
        <v>51.355790913110297</v>
      </c>
      <c r="D46">
        <v>34</v>
      </c>
      <c r="E46">
        <v>919</v>
      </c>
      <c r="F46">
        <v>7152.28604943551</v>
      </c>
      <c r="G46" t="s">
        <v>35</v>
      </c>
      <c r="H46">
        <v>13</v>
      </c>
      <c r="I46">
        <v>19</v>
      </c>
      <c r="J46">
        <v>72</v>
      </c>
      <c r="K46">
        <v>6</v>
      </c>
      <c r="L46" t="s">
        <v>43</v>
      </c>
      <c r="M46">
        <v>7.5774496573766896</v>
      </c>
      <c r="N46" t="s">
        <v>61</v>
      </c>
      <c r="O46" t="s">
        <v>50</v>
      </c>
      <c r="P46">
        <v>7</v>
      </c>
      <c r="Q46">
        <v>834</v>
      </c>
      <c r="R46">
        <v>18</v>
      </c>
      <c r="S46">
        <v>22.554106620887701</v>
      </c>
      <c r="T46" t="s">
        <v>46</v>
      </c>
      <c r="U46">
        <v>2.9626263204548802</v>
      </c>
      <c r="V46" t="s">
        <v>47</v>
      </c>
      <c r="W46" t="s">
        <v>48</v>
      </c>
      <c r="X46">
        <v>610.45326961922694</v>
      </c>
    </row>
    <row r="47" spans="1:24">
      <c r="A47" t="s">
        <v>24</v>
      </c>
      <c r="B47" t="s">
        <v>99</v>
      </c>
      <c r="C47">
        <v>33.784138033065503</v>
      </c>
      <c r="D47">
        <v>1</v>
      </c>
      <c r="E47">
        <v>24</v>
      </c>
      <c r="F47">
        <v>5267.9568075105199</v>
      </c>
      <c r="G47" t="s">
        <v>55</v>
      </c>
      <c r="H47">
        <v>93</v>
      </c>
      <c r="I47">
        <v>7</v>
      </c>
      <c r="J47">
        <v>52</v>
      </c>
      <c r="K47">
        <v>6</v>
      </c>
      <c r="L47" t="s">
        <v>27</v>
      </c>
      <c r="M47">
        <v>5.2151550087119096</v>
      </c>
      <c r="N47" t="s">
        <v>61</v>
      </c>
      <c r="O47" t="s">
        <v>62</v>
      </c>
      <c r="P47">
        <v>25</v>
      </c>
      <c r="Q47">
        <v>794</v>
      </c>
      <c r="R47">
        <v>25</v>
      </c>
      <c r="S47">
        <v>66.312544439991598</v>
      </c>
      <c r="T47" t="s">
        <v>64</v>
      </c>
      <c r="U47">
        <v>3.2196046120841002</v>
      </c>
      <c r="V47" t="s">
        <v>47</v>
      </c>
      <c r="W47" t="s">
        <v>48</v>
      </c>
      <c r="X47">
        <v>495.30569702847299</v>
      </c>
    </row>
    <row r="48" spans="1:24">
      <c r="A48" t="s">
        <v>24</v>
      </c>
      <c r="B48" t="s">
        <v>100</v>
      </c>
      <c r="C48">
        <v>27.082207199888899</v>
      </c>
      <c r="D48">
        <v>75</v>
      </c>
      <c r="E48">
        <v>859</v>
      </c>
      <c r="F48">
        <v>2556.7673606335902</v>
      </c>
      <c r="G48" t="s">
        <v>26</v>
      </c>
      <c r="H48">
        <v>92</v>
      </c>
      <c r="I48">
        <v>29</v>
      </c>
      <c r="J48">
        <v>6</v>
      </c>
      <c r="K48">
        <v>8</v>
      </c>
      <c r="L48" t="s">
        <v>27</v>
      </c>
      <c r="M48">
        <v>4.0709558370840799</v>
      </c>
      <c r="N48" t="s">
        <v>28</v>
      </c>
      <c r="O48" t="s">
        <v>62</v>
      </c>
      <c r="P48">
        <v>18</v>
      </c>
      <c r="Q48">
        <v>870</v>
      </c>
      <c r="R48">
        <v>23</v>
      </c>
      <c r="S48">
        <v>77.322353211051606</v>
      </c>
      <c r="T48" t="s">
        <v>30</v>
      </c>
      <c r="U48">
        <v>3.6486105925361998</v>
      </c>
      <c r="V48" t="s">
        <v>31</v>
      </c>
      <c r="W48" t="s">
        <v>32</v>
      </c>
      <c r="X48">
        <v>380.43593711196399</v>
      </c>
    </row>
    <row r="49" spans="1:24">
      <c r="A49" t="s">
        <v>33</v>
      </c>
      <c r="B49" t="s">
        <v>101</v>
      </c>
      <c r="C49">
        <v>95.712135880936003</v>
      </c>
      <c r="D49">
        <v>93</v>
      </c>
      <c r="E49">
        <v>910</v>
      </c>
      <c r="F49">
        <v>7089.4742499341801</v>
      </c>
      <c r="G49" t="s">
        <v>55</v>
      </c>
      <c r="H49">
        <v>4</v>
      </c>
      <c r="I49">
        <v>15</v>
      </c>
      <c r="J49">
        <v>51</v>
      </c>
      <c r="K49">
        <v>9</v>
      </c>
      <c r="L49" t="s">
        <v>27</v>
      </c>
      <c r="M49">
        <v>8.9787507559499709</v>
      </c>
      <c r="N49" t="s">
        <v>39</v>
      </c>
      <c r="O49" t="s">
        <v>45</v>
      </c>
      <c r="P49">
        <v>10</v>
      </c>
      <c r="Q49">
        <v>964</v>
      </c>
      <c r="R49">
        <v>20</v>
      </c>
      <c r="S49">
        <v>19.7129929112936</v>
      </c>
      <c r="T49" t="s">
        <v>30</v>
      </c>
      <c r="U49">
        <v>0.38057358671321301</v>
      </c>
      <c r="V49" t="s">
        <v>47</v>
      </c>
      <c r="W49" t="s">
        <v>48</v>
      </c>
      <c r="X49">
        <v>581.60235505058597</v>
      </c>
    </row>
    <row r="50" spans="1:24">
      <c r="A50" t="s">
        <v>24</v>
      </c>
      <c r="B50" t="s">
        <v>102</v>
      </c>
      <c r="C50">
        <v>76.035544426891704</v>
      </c>
      <c r="D50">
        <v>28</v>
      </c>
      <c r="E50">
        <v>29</v>
      </c>
      <c r="F50">
        <v>7397.0710045871801</v>
      </c>
      <c r="G50" t="s">
        <v>26</v>
      </c>
      <c r="H50">
        <v>30</v>
      </c>
      <c r="I50">
        <v>16</v>
      </c>
      <c r="J50">
        <v>9</v>
      </c>
      <c r="K50">
        <v>3</v>
      </c>
      <c r="L50" t="s">
        <v>43</v>
      </c>
      <c r="M50">
        <v>7.0958331565551296</v>
      </c>
      <c r="N50" t="s">
        <v>61</v>
      </c>
      <c r="O50" t="s">
        <v>29</v>
      </c>
      <c r="P50">
        <v>9</v>
      </c>
      <c r="Q50">
        <v>109</v>
      </c>
      <c r="R50">
        <v>18</v>
      </c>
      <c r="S50">
        <v>23.126363582464698</v>
      </c>
      <c r="T50" t="s">
        <v>46</v>
      </c>
      <c r="U50">
        <v>1.6981125407144</v>
      </c>
      <c r="V50" t="s">
        <v>47</v>
      </c>
      <c r="W50" t="s">
        <v>32</v>
      </c>
      <c r="X50">
        <v>768.65191395437</v>
      </c>
    </row>
    <row r="51" spans="1:24">
      <c r="A51" t="s">
        <v>57</v>
      </c>
      <c r="B51" t="s">
        <v>103</v>
      </c>
      <c r="C51">
        <v>78.897913205639995</v>
      </c>
      <c r="D51">
        <v>19</v>
      </c>
      <c r="E51">
        <v>99</v>
      </c>
      <c r="F51">
        <v>8001.6132065190004</v>
      </c>
      <c r="G51" t="s">
        <v>38</v>
      </c>
      <c r="H51">
        <v>97</v>
      </c>
      <c r="I51">
        <v>24</v>
      </c>
      <c r="J51">
        <v>9</v>
      </c>
      <c r="K51">
        <v>6</v>
      </c>
      <c r="L51" t="s">
        <v>43</v>
      </c>
      <c r="M51">
        <v>2.5056210329009101</v>
      </c>
      <c r="N51" t="s">
        <v>44</v>
      </c>
      <c r="O51" t="s">
        <v>50</v>
      </c>
      <c r="P51">
        <v>28</v>
      </c>
      <c r="Q51">
        <v>177</v>
      </c>
      <c r="R51">
        <v>28</v>
      </c>
      <c r="S51">
        <v>14.1478154439792</v>
      </c>
      <c r="T51" t="s">
        <v>64</v>
      </c>
      <c r="U51">
        <v>2.8258139854001301</v>
      </c>
      <c r="V51" t="s">
        <v>47</v>
      </c>
      <c r="W51" t="s">
        <v>48</v>
      </c>
      <c r="X51">
        <v>336.89016851997701</v>
      </c>
    </row>
    <row r="52" spans="1:24">
      <c r="A52" t="s">
        <v>57</v>
      </c>
      <c r="B52" t="s">
        <v>104</v>
      </c>
      <c r="C52">
        <v>14.203484264803</v>
      </c>
      <c r="D52">
        <v>91</v>
      </c>
      <c r="E52">
        <v>633</v>
      </c>
      <c r="F52">
        <v>5910.8853896688897</v>
      </c>
      <c r="G52" t="s">
        <v>35</v>
      </c>
      <c r="H52">
        <v>31</v>
      </c>
      <c r="I52">
        <v>23</v>
      </c>
      <c r="J52">
        <v>82</v>
      </c>
      <c r="K52">
        <v>10</v>
      </c>
      <c r="L52" t="s">
        <v>36</v>
      </c>
      <c r="M52">
        <v>6.2478609149759903</v>
      </c>
      <c r="N52" t="s">
        <v>61</v>
      </c>
      <c r="O52" t="s">
        <v>50</v>
      </c>
      <c r="P52">
        <v>20</v>
      </c>
      <c r="Q52">
        <v>306</v>
      </c>
      <c r="R52">
        <v>21</v>
      </c>
      <c r="S52">
        <v>45.178757924634503</v>
      </c>
      <c r="T52" t="s">
        <v>46</v>
      </c>
      <c r="U52">
        <v>4.7548008046711798</v>
      </c>
      <c r="V52" t="s">
        <v>47</v>
      </c>
      <c r="W52" t="s">
        <v>32</v>
      </c>
      <c r="X52">
        <v>496.24865029194001</v>
      </c>
    </row>
    <row r="53" spans="1:24">
      <c r="A53" t="s">
        <v>24</v>
      </c>
      <c r="B53" t="s">
        <v>105</v>
      </c>
      <c r="C53">
        <v>26.700760972461701</v>
      </c>
      <c r="D53">
        <v>61</v>
      </c>
      <c r="E53">
        <v>154</v>
      </c>
      <c r="F53">
        <v>9866.4654579796897</v>
      </c>
      <c r="G53" t="s">
        <v>55</v>
      </c>
      <c r="H53">
        <v>100</v>
      </c>
      <c r="I53">
        <v>4</v>
      </c>
      <c r="J53">
        <v>52</v>
      </c>
      <c r="K53">
        <v>1</v>
      </c>
      <c r="L53" t="s">
        <v>36</v>
      </c>
      <c r="M53">
        <v>4.78300055794766</v>
      </c>
      <c r="N53" t="s">
        <v>44</v>
      </c>
      <c r="O53" t="s">
        <v>53</v>
      </c>
      <c r="P53">
        <v>18</v>
      </c>
      <c r="Q53">
        <v>673</v>
      </c>
      <c r="R53">
        <v>28</v>
      </c>
      <c r="S53">
        <v>14.190328344569901</v>
      </c>
      <c r="T53" t="s">
        <v>30</v>
      </c>
      <c r="U53">
        <v>1.77295117208355</v>
      </c>
      <c r="V53" t="s">
        <v>31</v>
      </c>
      <c r="W53" t="s">
        <v>48</v>
      </c>
      <c r="X53">
        <v>694.98231757944495</v>
      </c>
    </row>
    <row r="54" spans="1:24">
      <c r="A54" t="s">
        <v>33</v>
      </c>
      <c r="B54" t="s">
        <v>106</v>
      </c>
      <c r="C54">
        <v>98.031829656465007</v>
      </c>
      <c r="D54">
        <v>1</v>
      </c>
      <c r="E54">
        <v>820</v>
      </c>
      <c r="F54">
        <v>9435.7626089121295</v>
      </c>
      <c r="G54" t="s">
        <v>55</v>
      </c>
      <c r="H54">
        <v>64</v>
      </c>
      <c r="I54">
        <v>11</v>
      </c>
      <c r="J54">
        <v>11</v>
      </c>
      <c r="K54">
        <v>1</v>
      </c>
      <c r="L54" t="s">
        <v>27</v>
      </c>
      <c r="M54">
        <v>8.6310521797689397</v>
      </c>
      <c r="N54" t="s">
        <v>39</v>
      </c>
      <c r="O54" t="s">
        <v>29</v>
      </c>
      <c r="P54">
        <v>10</v>
      </c>
      <c r="Q54">
        <v>727</v>
      </c>
      <c r="R54">
        <v>27</v>
      </c>
      <c r="S54">
        <v>9.1668491485971497</v>
      </c>
      <c r="T54" t="s">
        <v>30</v>
      </c>
      <c r="U54">
        <v>2.1224716191438202</v>
      </c>
      <c r="V54" t="s">
        <v>40</v>
      </c>
      <c r="W54" t="s">
        <v>41</v>
      </c>
      <c r="X54">
        <v>602.89849883838303</v>
      </c>
    </row>
    <row r="55" spans="1:24">
      <c r="A55" t="s">
        <v>33</v>
      </c>
      <c r="B55" t="s">
        <v>107</v>
      </c>
      <c r="C55">
        <v>30.3414707112142</v>
      </c>
      <c r="D55">
        <v>93</v>
      </c>
      <c r="E55">
        <v>242</v>
      </c>
      <c r="F55">
        <v>8232.3348294258194</v>
      </c>
      <c r="G55" t="s">
        <v>55</v>
      </c>
      <c r="H55">
        <v>96</v>
      </c>
      <c r="I55">
        <v>25</v>
      </c>
      <c r="J55">
        <v>54</v>
      </c>
      <c r="K55">
        <v>3</v>
      </c>
      <c r="L55" t="s">
        <v>27</v>
      </c>
      <c r="M55">
        <v>1.0134865660958901</v>
      </c>
      <c r="N55" t="s">
        <v>39</v>
      </c>
      <c r="O55" t="s">
        <v>50</v>
      </c>
      <c r="P55">
        <v>1</v>
      </c>
      <c r="Q55">
        <v>631</v>
      </c>
      <c r="R55">
        <v>17</v>
      </c>
      <c r="S55">
        <v>83.344058991677898</v>
      </c>
      <c r="T55" t="s">
        <v>30</v>
      </c>
      <c r="U55">
        <v>1.41034757607602</v>
      </c>
      <c r="V55" t="s">
        <v>40</v>
      </c>
      <c r="W55" t="s">
        <v>32</v>
      </c>
      <c r="X55">
        <v>750.73784066827</v>
      </c>
    </row>
    <row r="56" spans="1:24">
      <c r="A56" t="s">
        <v>24</v>
      </c>
      <c r="B56" t="s">
        <v>108</v>
      </c>
      <c r="C56">
        <v>31.1462431602408</v>
      </c>
      <c r="D56">
        <v>11</v>
      </c>
      <c r="E56">
        <v>622</v>
      </c>
      <c r="F56">
        <v>6088.0214799408504</v>
      </c>
      <c r="G56" t="s">
        <v>26</v>
      </c>
      <c r="H56">
        <v>33</v>
      </c>
      <c r="I56">
        <v>22</v>
      </c>
      <c r="J56">
        <v>61</v>
      </c>
      <c r="K56">
        <v>3</v>
      </c>
      <c r="L56" t="s">
        <v>27</v>
      </c>
      <c r="M56">
        <v>4.3051034712876302</v>
      </c>
      <c r="N56" t="s">
        <v>39</v>
      </c>
      <c r="O56" t="s">
        <v>45</v>
      </c>
      <c r="P56">
        <v>26</v>
      </c>
      <c r="Q56">
        <v>497</v>
      </c>
      <c r="R56">
        <v>29</v>
      </c>
      <c r="S56">
        <v>30.186023375822501</v>
      </c>
      <c r="T56" t="s">
        <v>64</v>
      </c>
      <c r="U56">
        <v>2.4787719755397402</v>
      </c>
      <c r="V56" t="s">
        <v>31</v>
      </c>
      <c r="W56" t="s">
        <v>32</v>
      </c>
      <c r="X56">
        <v>814.06999658218695</v>
      </c>
    </row>
    <row r="57" spans="1:24">
      <c r="A57" t="s">
        <v>24</v>
      </c>
      <c r="B57" t="s">
        <v>109</v>
      </c>
      <c r="C57">
        <v>79.855058340789398</v>
      </c>
      <c r="D57">
        <v>16</v>
      </c>
      <c r="E57">
        <v>701</v>
      </c>
      <c r="F57">
        <v>2925.6751703038099</v>
      </c>
      <c r="G57" t="s">
        <v>55</v>
      </c>
      <c r="H57">
        <v>97</v>
      </c>
      <c r="I57">
        <v>11</v>
      </c>
      <c r="J57">
        <v>11</v>
      </c>
      <c r="K57">
        <v>5</v>
      </c>
      <c r="L57" t="s">
        <v>36</v>
      </c>
      <c r="M57">
        <v>5.0143649550309002</v>
      </c>
      <c r="N57" t="s">
        <v>61</v>
      </c>
      <c r="O57" t="s">
        <v>50</v>
      </c>
      <c r="P57">
        <v>27</v>
      </c>
      <c r="Q57">
        <v>918</v>
      </c>
      <c r="R57">
        <v>5</v>
      </c>
      <c r="S57">
        <v>30.323545256616502</v>
      </c>
      <c r="T57" t="s">
        <v>46</v>
      </c>
      <c r="U57">
        <v>4.5489196593963799</v>
      </c>
      <c r="V57" t="s">
        <v>56</v>
      </c>
      <c r="W57" t="s">
        <v>32</v>
      </c>
      <c r="X57">
        <v>323.01292795247798</v>
      </c>
    </row>
    <row r="58" spans="1:24">
      <c r="A58" t="s">
        <v>33</v>
      </c>
      <c r="B58" t="s">
        <v>110</v>
      </c>
      <c r="C58">
        <v>20.9863860370433</v>
      </c>
      <c r="D58">
        <v>90</v>
      </c>
      <c r="E58">
        <v>93</v>
      </c>
      <c r="F58">
        <v>4767.0204843441297</v>
      </c>
      <c r="G58" t="s">
        <v>26</v>
      </c>
      <c r="H58">
        <v>25</v>
      </c>
      <c r="I58">
        <v>23</v>
      </c>
      <c r="J58">
        <v>83</v>
      </c>
      <c r="K58">
        <v>5</v>
      </c>
      <c r="L58" t="s">
        <v>43</v>
      </c>
      <c r="M58">
        <v>1.77442971407173</v>
      </c>
      <c r="N58" t="s">
        <v>39</v>
      </c>
      <c r="O58" t="s">
        <v>29</v>
      </c>
      <c r="P58">
        <v>24</v>
      </c>
      <c r="Q58">
        <v>826</v>
      </c>
      <c r="R58">
        <v>28</v>
      </c>
      <c r="S58">
        <v>12.8362845728327</v>
      </c>
      <c r="T58" t="s">
        <v>64</v>
      </c>
      <c r="U58">
        <v>1.1737554953874501</v>
      </c>
      <c r="V58" t="s">
        <v>40</v>
      </c>
      <c r="W58" t="s">
        <v>32</v>
      </c>
      <c r="X58">
        <v>832.210808706021</v>
      </c>
    </row>
    <row r="59" spans="1:24">
      <c r="A59" t="s">
        <v>24</v>
      </c>
      <c r="B59" t="s">
        <v>111</v>
      </c>
      <c r="C59">
        <v>49.263205350734097</v>
      </c>
      <c r="D59">
        <v>65</v>
      </c>
      <c r="E59">
        <v>227</v>
      </c>
      <c r="F59">
        <v>1605.8669003924001</v>
      </c>
      <c r="G59" t="s">
        <v>38</v>
      </c>
      <c r="H59">
        <v>5</v>
      </c>
      <c r="I59">
        <v>18</v>
      </c>
      <c r="J59">
        <v>51</v>
      </c>
      <c r="K59">
        <v>1</v>
      </c>
      <c r="L59" t="s">
        <v>27</v>
      </c>
      <c r="M59">
        <v>9.1605585353818704</v>
      </c>
      <c r="N59" t="s">
        <v>61</v>
      </c>
      <c r="O59" t="s">
        <v>50</v>
      </c>
      <c r="P59">
        <v>21</v>
      </c>
      <c r="Q59">
        <v>588</v>
      </c>
      <c r="R59">
        <v>25</v>
      </c>
      <c r="S59">
        <v>67.779622987078099</v>
      </c>
      <c r="T59" t="s">
        <v>30</v>
      </c>
      <c r="U59">
        <v>2.5111748302126999</v>
      </c>
      <c r="V59" t="s">
        <v>47</v>
      </c>
      <c r="W59" t="s">
        <v>48</v>
      </c>
      <c r="X59">
        <v>482.19123860252802</v>
      </c>
    </row>
    <row r="60" spans="1:24">
      <c r="A60" t="s">
        <v>33</v>
      </c>
      <c r="B60" t="s">
        <v>112</v>
      </c>
      <c r="C60">
        <v>59.841561377289302</v>
      </c>
      <c r="D60">
        <v>81</v>
      </c>
      <c r="E60">
        <v>896</v>
      </c>
      <c r="F60">
        <v>2021.1498103371</v>
      </c>
      <c r="G60" t="s">
        <v>26</v>
      </c>
      <c r="H60">
        <v>10</v>
      </c>
      <c r="I60">
        <v>5</v>
      </c>
      <c r="J60">
        <v>44</v>
      </c>
      <c r="K60">
        <v>7</v>
      </c>
      <c r="L60" t="s">
        <v>36</v>
      </c>
      <c r="M60">
        <v>4.9384385647120901</v>
      </c>
      <c r="N60" t="s">
        <v>28</v>
      </c>
      <c r="O60" t="s">
        <v>50</v>
      </c>
      <c r="P60">
        <v>18</v>
      </c>
      <c r="Q60">
        <v>396</v>
      </c>
      <c r="R60">
        <v>7</v>
      </c>
      <c r="S60">
        <v>65.047415094691402</v>
      </c>
      <c r="T60" t="s">
        <v>46</v>
      </c>
      <c r="U60">
        <v>1.7303747198591899</v>
      </c>
      <c r="V60" t="s">
        <v>31</v>
      </c>
      <c r="W60" t="s">
        <v>32</v>
      </c>
      <c r="X60">
        <v>110.364335231364</v>
      </c>
    </row>
    <row r="61" spans="1:24">
      <c r="A61" t="s">
        <v>57</v>
      </c>
      <c r="B61" t="s">
        <v>113</v>
      </c>
      <c r="C61">
        <v>63.828398347710902</v>
      </c>
      <c r="D61">
        <v>30</v>
      </c>
      <c r="E61">
        <v>484</v>
      </c>
      <c r="F61">
        <v>1061.6185230132801</v>
      </c>
      <c r="G61" t="s">
        <v>26</v>
      </c>
      <c r="H61">
        <v>100</v>
      </c>
      <c r="I61">
        <v>16</v>
      </c>
      <c r="J61">
        <v>26</v>
      </c>
      <c r="K61">
        <v>7</v>
      </c>
      <c r="L61" t="s">
        <v>27</v>
      </c>
      <c r="M61">
        <v>7.2937225968677204</v>
      </c>
      <c r="N61" t="s">
        <v>39</v>
      </c>
      <c r="O61" t="s">
        <v>45</v>
      </c>
      <c r="P61">
        <v>11</v>
      </c>
      <c r="Q61">
        <v>176</v>
      </c>
      <c r="R61">
        <v>4</v>
      </c>
      <c r="S61">
        <v>1.90076224351945</v>
      </c>
      <c r="T61" t="s">
        <v>46</v>
      </c>
      <c r="U61">
        <v>0.44719401546382298</v>
      </c>
      <c r="V61" t="s">
        <v>40</v>
      </c>
      <c r="W61" t="s">
        <v>48</v>
      </c>
      <c r="X61">
        <v>312.57427361009297</v>
      </c>
    </row>
    <row r="62" spans="1:24">
      <c r="A62" t="s">
        <v>33</v>
      </c>
      <c r="B62" t="s">
        <v>114</v>
      </c>
      <c r="C62">
        <v>17.028027920188698</v>
      </c>
      <c r="D62">
        <v>16</v>
      </c>
      <c r="E62">
        <v>380</v>
      </c>
      <c r="F62">
        <v>8864.0843495864301</v>
      </c>
      <c r="G62" t="s">
        <v>35</v>
      </c>
      <c r="H62">
        <v>41</v>
      </c>
      <c r="I62">
        <v>27</v>
      </c>
      <c r="J62">
        <v>72</v>
      </c>
      <c r="K62">
        <v>8</v>
      </c>
      <c r="L62" t="s">
        <v>43</v>
      </c>
      <c r="M62">
        <v>4.3813681581023101</v>
      </c>
      <c r="N62" t="s">
        <v>52</v>
      </c>
      <c r="O62" t="s">
        <v>29</v>
      </c>
      <c r="P62">
        <v>29</v>
      </c>
      <c r="Q62">
        <v>929</v>
      </c>
      <c r="R62">
        <v>24</v>
      </c>
      <c r="S62">
        <v>87.213057815135599</v>
      </c>
      <c r="T62" t="s">
        <v>46</v>
      </c>
      <c r="U62">
        <v>2.8530906166490499</v>
      </c>
      <c r="V62" t="s">
        <v>47</v>
      </c>
      <c r="W62" t="s">
        <v>48</v>
      </c>
      <c r="X62">
        <v>430.16909697513597</v>
      </c>
    </row>
    <row r="63" spans="1:24">
      <c r="A63" t="s">
        <v>24</v>
      </c>
      <c r="B63" t="s">
        <v>115</v>
      </c>
      <c r="C63">
        <v>52.028749903294901</v>
      </c>
      <c r="D63">
        <v>23</v>
      </c>
      <c r="E63">
        <v>117</v>
      </c>
      <c r="F63">
        <v>6885.5893508962499</v>
      </c>
      <c r="G63" t="s">
        <v>38</v>
      </c>
      <c r="H63">
        <v>32</v>
      </c>
      <c r="I63">
        <v>23</v>
      </c>
      <c r="J63">
        <v>36</v>
      </c>
      <c r="K63">
        <v>7</v>
      </c>
      <c r="L63" t="s">
        <v>43</v>
      </c>
      <c r="M63">
        <v>9.0303404225219399</v>
      </c>
      <c r="N63" t="s">
        <v>52</v>
      </c>
      <c r="O63" t="s">
        <v>45</v>
      </c>
      <c r="P63">
        <v>14</v>
      </c>
      <c r="Q63">
        <v>480</v>
      </c>
      <c r="R63">
        <v>12</v>
      </c>
      <c r="S63">
        <v>78.702393968878894</v>
      </c>
      <c r="T63" t="s">
        <v>46</v>
      </c>
      <c r="U63">
        <v>4.3674705382050503</v>
      </c>
      <c r="V63" t="s">
        <v>40</v>
      </c>
      <c r="W63" t="s">
        <v>48</v>
      </c>
      <c r="X63">
        <v>164.366528243419</v>
      </c>
    </row>
    <row r="64" spans="1:24">
      <c r="A64" t="s">
        <v>57</v>
      </c>
      <c r="B64" t="s">
        <v>116</v>
      </c>
      <c r="C64">
        <v>72.796353955587307</v>
      </c>
      <c r="D64">
        <v>89</v>
      </c>
      <c r="E64">
        <v>270</v>
      </c>
      <c r="F64">
        <v>3899.7468337292198</v>
      </c>
      <c r="G64" t="s">
        <v>38</v>
      </c>
      <c r="H64">
        <v>86</v>
      </c>
      <c r="I64">
        <v>2</v>
      </c>
      <c r="J64">
        <v>40</v>
      </c>
      <c r="K64">
        <v>7</v>
      </c>
      <c r="L64" t="s">
        <v>43</v>
      </c>
      <c r="M64">
        <v>7.2917013887767697</v>
      </c>
      <c r="N64" t="s">
        <v>61</v>
      </c>
      <c r="O64" t="s">
        <v>29</v>
      </c>
      <c r="P64">
        <v>13</v>
      </c>
      <c r="Q64">
        <v>751</v>
      </c>
      <c r="R64">
        <v>14</v>
      </c>
      <c r="S64">
        <v>21.048642725168602</v>
      </c>
      <c r="T64" t="s">
        <v>64</v>
      </c>
      <c r="U64">
        <v>1.87400140404437</v>
      </c>
      <c r="V64" t="s">
        <v>56</v>
      </c>
      <c r="W64" t="s">
        <v>41</v>
      </c>
      <c r="X64">
        <v>320.84651575911101</v>
      </c>
    </row>
    <row r="65" spans="1:24">
      <c r="A65" t="s">
        <v>33</v>
      </c>
      <c r="B65" t="s">
        <v>117</v>
      </c>
      <c r="C65">
        <v>13.0173767852878</v>
      </c>
      <c r="D65">
        <v>55</v>
      </c>
      <c r="E65">
        <v>246</v>
      </c>
      <c r="F65">
        <v>4256.9491408502199</v>
      </c>
      <c r="G65" t="s">
        <v>26</v>
      </c>
      <c r="H65">
        <v>54</v>
      </c>
      <c r="I65">
        <v>19</v>
      </c>
      <c r="J65">
        <v>10</v>
      </c>
      <c r="K65">
        <v>4</v>
      </c>
      <c r="L65" t="s">
        <v>36</v>
      </c>
      <c r="M65">
        <v>2.45793352798733</v>
      </c>
      <c r="N65" t="s">
        <v>28</v>
      </c>
      <c r="O65" t="s">
        <v>53</v>
      </c>
      <c r="P65">
        <v>18</v>
      </c>
      <c r="Q65">
        <v>736</v>
      </c>
      <c r="R65">
        <v>10</v>
      </c>
      <c r="S65">
        <v>20.075003975630398</v>
      </c>
      <c r="T65" t="s">
        <v>30</v>
      </c>
      <c r="U65">
        <v>3.6328432903821302</v>
      </c>
      <c r="V65" t="s">
        <v>56</v>
      </c>
      <c r="W65" t="s">
        <v>48</v>
      </c>
      <c r="X65">
        <v>687.28617786641701</v>
      </c>
    </row>
    <row r="66" spans="1:24">
      <c r="A66" t="s">
        <v>33</v>
      </c>
      <c r="B66" t="s">
        <v>118</v>
      </c>
      <c r="C66">
        <v>89.634095608135297</v>
      </c>
      <c r="D66">
        <v>11</v>
      </c>
      <c r="E66">
        <v>134</v>
      </c>
      <c r="F66">
        <v>8458.7308783671706</v>
      </c>
      <c r="G66" t="s">
        <v>35</v>
      </c>
      <c r="H66">
        <v>73</v>
      </c>
      <c r="I66">
        <v>27</v>
      </c>
      <c r="J66">
        <v>75</v>
      </c>
      <c r="K66">
        <v>6</v>
      </c>
      <c r="L66" t="s">
        <v>43</v>
      </c>
      <c r="M66">
        <v>4.5853534681946497</v>
      </c>
      <c r="N66" t="s">
        <v>39</v>
      </c>
      <c r="O66" t="s">
        <v>50</v>
      </c>
      <c r="P66">
        <v>17</v>
      </c>
      <c r="Q66">
        <v>328</v>
      </c>
      <c r="R66">
        <v>6</v>
      </c>
      <c r="S66">
        <v>8.6930424258772803</v>
      </c>
      <c r="T66" t="s">
        <v>46</v>
      </c>
      <c r="U66">
        <v>0.15948631471751401</v>
      </c>
      <c r="V66" t="s">
        <v>40</v>
      </c>
      <c r="W66" t="s">
        <v>41</v>
      </c>
      <c r="X66">
        <v>771.225084681157</v>
      </c>
    </row>
    <row r="67" spans="1:24">
      <c r="A67" t="s">
        <v>33</v>
      </c>
      <c r="B67" t="s">
        <v>119</v>
      </c>
      <c r="C67">
        <v>33.697717206643098</v>
      </c>
      <c r="D67">
        <v>72</v>
      </c>
      <c r="E67">
        <v>457</v>
      </c>
      <c r="F67">
        <v>8354.5796864819895</v>
      </c>
      <c r="G67" t="s">
        <v>55</v>
      </c>
      <c r="H67">
        <v>57</v>
      </c>
      <c r="I67">
        <v>24</v>
      </c>
      <c r="J67">
        <v>54</v>
      </c>
      <c r="K67">
        <v>8</v>
      </c>
      <c r="L67" t="s">
        <v>43</v>
      </c>
      <c r="M67">
        <v>6.5805413478845898</v>
      </c>
      <c r="N67" t="s">
        <v>44</v>
      </c>
      <c r="O67" t="s">
        <v>45</v>
      </c>
      <c r="P67">
        <v>16</v>
      </c>
      <c r="Q67">
        <v>358</v>
      </c>
      <c r="R67">
        <v>21</v>
      </c>
      <c r="S67">
        <v>1.59722274305067</v>
      </c>
      <c r="T67" t="s">
        <v>46</v>
      </c>
      <c r="U67">
        <v>4.9110959548423301</v>
      </c>
      <c r="V67" t="s">
        <v>47</v>
      </c>
      <c r="W67" t="s">
        <v>41</v>
      </c>
      <c r="X67">
        <v>555.85910367174301</v>
      </c>
    </row>
    <row r="68" spans="1:24">
      <c r="A68" t="s">
        <v>33</v>
      </c>
      <c r="B68" t="s">
        <v>120</v>
      </c>
      <c r="C68">
        <v>26.034869773962001</v>
      </c>
      <c r="D68">
        <v>52</v>
      </c>
      <c r="E68">
        <v>704</v>
      </c>
      <c r="F68">
        <v>8367.7216180201503</v>
      </c>
      <c r="G68" t="s">
        <v>35</v>
      </c>
      <c r="H68">
        <v>13</v>
      </c>
      <c r="I68">
        <v>17</v>
      </c>
      <c r="J68">
        <v>19</v>
      </c>
      <c r="K68">
        <v>8</v>
      </c>
      <c r="L68" t="s">
        <v>36</v>
      </c>
      <c r="M68">
        <v>2.2161427287713602</v>
      </c>
      <c r="N68" t="s">
        <v>44</v>
      </c>
      <c r="O68" t="s">
        <v>45</v>
      </c>
      <c r="P68">
        <v>24</v>
      </c>
      <c r="Q68">
        <v>867</v>
      </c>
      <c r="R68">
        <v>28</v>
      </c>
      <c r="S68">
        <v>42.084436738309897</v>
      </c>
      <c r="T68" t="s">
        <v>46</v>
      </c>
      <c r="U68">
        <v>3.44806328834026</v>
      </c>
      <c r="V68" t="s">
        <v>31</v>
      </c>
      <c r="W68" t="s">
        <v>48</v>
      </c>
      <c r="X68">
        <v>393.84334857842703</v>
      </c>
    </row>
    <row r="69" spans="1:24">
      <c r="A69" t="s">
        <v>33</v>
      </c>
      <c r="B69" t="s">
        <v>121</v>
      </c>
      <c r="C69">
        <v>87.755432354001002</v>
      </c>
      <c r="D69">
        <v>16</v>
      </c>
      <c r="E69">
        <v>513</v>
      </c>
      <c r="F69">
        <v>9473.7980325083299</v>
      </c>
      <c r="G69" t="s">
        <v>38</v>
      </c>
      <c r="H69">
        <v>12</v>
      </c>
      <c r="I69">
        <v>9</v>
      </c>
      <c r="J69">
        <v>71</v>
      </c>
      <c r="K69">
        <v>9</v>
      </c>
      <c r="L69" t="s">
        <v>43</v>
      </c>
      <c r="M69">
        <v>9.1478115447106294</v>
      </c>
      <c r="N69" t="s">
        <v>39</v>
      </c>
      <c r="O69" t="s">
        <v>29</v>
      </c>
      <c r="P69">
        <v>10</v>
      </c>
      <c r="Q69">
        <v>198</v>
      </c>
      <c r="R69">
        <v>11</v>
      </c>
      <c r="S69">
        <v>7.0578761469782298</v>
      </c>
      <c r="T69" t="s">
        <v>64</v>
      </c>
      <c r="U69">
        <v>0.131955444311814</v>
      </c>
      <c r="V69" t="s">
        <v>56</v>
      </c>
      <c r="W69" t="s">
        <v>41</v>
      </c>
      <c r="X69">
        <v>169.27180138478599</v>
      </c>
    </row>
    <row r="70" spans="1:24">
      <c r="A70" t="s">
        <v>24</v>
      </c>
      <c r="B70" t="s">
        <v>122</v>
      </c>
      <c r="C70">
        <v>37.931812382790298</v>
      </c>
      <c r="D70">
        <v>29</v>
      </c>
      <c r="E70">
        <v>163</v>
      </c>
      <c r="F70">
        <v>3550.21843278099</v>
      </c>
      <c r="G70" t="s">
        <v>26</v>
      </c>
      <c r="H70">
        <v>0</v>
      </c>
      <c r="I70">
        <v>8</v>
      </c>
      <c r="J70">
        <v>58</v>
      </c>
      <c r="K70">
        <v>8</v>
      </c>
      <c r="L70" t="s">
        <v>27</v>
      </c>
      <c r="M70">
        <v>1.19425186488499</v>
      </c>
      <c r="N70" t="s">
        <v>61</v>
      </c>
      <c r="O70" t="s">
        <v>53</v>
      </c>
      <c r="P70">
        <v>2</v>
      </c>
      <c r="Q70">
        <v>375</v>
      </c>
      <c r="R70">
        <v>18</v>
      </c>
      <c r="S70">
        <v>97.113581563462205</v>
      </c>
      <c r="T70" t="s">
        <v>46</v>
      </c>
      <c r="U70">
        <v>1.9834678721741801</v>
      </c>
      <c r="V70" t="s">
        <v>47</v>
      </c>
      <c r="W70" t="s">
        <v>48</v>
      </c>
      <c r="X70">
        <v>299.70630311810299</v>
      </c>
    </row>
    <row r="71" spans="1:24">
      <c r="A71" t="s">
        <v>33</v>
      </c>
      <c r="B71" t="s">
        <v>123</v>
      </c>
      <c r="C71">
        <v>54.865528517069698</v>
      </c>
      <c r="D71">
        <v>62</v>
      </c>
      <c r="E71">
        <v>511</v>
      </c>
      <c r="F71">
        <v>1752.3810874841199</v>
      </c>
      <c r="G71" t="s">
        <v>26</v>
      </c>
      <c r="H71">
        <v>95</v>
      </c>
      <c r="I71">
        <v>1</v>
      </c>
      <c r="J71">
        <v>27</v>
      </c>
      <c r="K71">
        <v>3</v>
      </c>
      <c r="L71" t="s">
        <v>27</v>
      </c>
      <c r="M71">
        <v>9.7052867901203399</v>
      </c>
      <c r="N71" t="s">
        <v>52</v>
      </c>
      <c r="O71" t="s">
        <v>45</v>
      </c>
      <c r="P71">
        <v>9</v>
      </c>
      <c r="Q71">
        <v>862</v>
      </c>
      <c r="R71">
        <v>7</v>
      </c>
      <c r="S71">
        <v>77.627765812748095</v>
      </c>
      <c r="T71" t="s">
        <v>30</v>
      </c>
      <c r="U71">
        <v>1.3623879886490999</v>
      </c>
      <c r="V71" t="s">
        <v>40</v>
      </c>
      <c r="W71" t="s">
        <v>48</v>
      </c>
      <c r="X71">
        <v>207.66320620857499</v>
      </c>
    </row>
    <row r="72" spans="1:24">
      <c r="A72" t="s">
        <v>24</v>
      </c>
      <c r="B72" t="s">
        <v>124</v>
      </c>
      <c r="C72">
        <v>47.914541824058702</v>
      </c>
      <c r="D72">
        <v>90</v>
      </c>
      <c r="E72">
        <v>32</v>
      </c>
      <c r="F72">
        <v>7014.8879872033804</v>
      </c>
      <c r="G72" t="s">
        <v>35</v>
      </c>
      <c r="H72">
        <v>10</v>
      </c>
      <c r="I72">
        <v>12</v>
      </c>
      <c r="J72">
        <v>22</v>
      </c>
      <c r="K72">
        <v>4</v>
      </c>
      <c r="L72" t="s">
        <v>27</v>
      </c>
      <c r="M72">
        <v>6.3157177546007199</v>
      </c>
      <c r="N72" t="s">
        <v>39</v>
      </c>
      <c r="O72" t="s">
        <v>53</v>
      </c>
      <c r="P72">
        <v>22</v>
      </c>
      <c r="Q72">
        <v>775</v>
      </c>
      <c r="R72">
        <v>16</v>
      </c>
      <c r="S72">
        <v>11.440781823761199</v>
      </c>
      <c r="T72" t="s">
        <v>64</v>
      </c>
      <c r="U72">
        <v>1.8305755986122301</v>
      </c>
      <c r="V72" t="s">
        <v>31</v>
      </c>
      <c r="W72" t="s">
        <v>41</v>
      </c>
      <c r="X72">
        <v>183.27289874871099</v>
      </c>
    </row>
    <row r="73" spans="1:24">
      <c r="A73" t="s">
        <v>57</v>
      </c>
      <c r="B73" t="s">
        <v>125</v>
      </c>
      <c r="C73">
        <v>6.3815331627479601</v>
      </c>
      <c r="D73">
        <v>14</v>
      </c>
      <c r="E73">
        <v>637</v>
      </c>
      <c r="F73">
        <v>8180.3370854254399</v>
      </c>
      <c r="G73" t="s">
        <v>35</v>
      </c>
      <c r="H73">
        <v>76</v>
      </c>
      <c r="I73">
        <v>2</v>
      </c>
      <c r="J73">
        <v>26</v>
      </c>
      <c r="K73">
        <v>6</v>
      </c>
      <c r="L73" t="s">
        <v>36</v>
      </c>
      <c r="M73">
        <v>9.2281903170525101</v>
      </c>
      <c r="N73" t="s">
        <v>61</v>
      </c>
      <c r="O73" t="s">
        <v>53</v>
      </c>
      <c r="P73">
        <v>2</v>
      </c>
      <c r="Q73">
        <v>258</v>
      </c>
      <c r="R73">
        <v>10</v>
      </c>
      <c r="S73">
        <v>30.661677477859499</v>
      </c>
      <c r="T73" t="s">
        <v>30</v>
      </c>
      <c r="U73">
        <v>2.07875060787496</v>
      </c>
      <c r="V73" t="s">
        <v>31</v>
      </c>
      <c r="W73" t="s">
        <v>48</v>
      </c>
      <c r="X73">
        <v>405.167067888855</v>
      </c>
    </row>
    <row r="74" spans="1:24">
      <c r="A74" t="s">
        <v>57</v>
      </c>
      <c r="B74" t="s">
        <v>126</v>
      </c>
      <c r="C74">
        <v>90.204427520528</v>
      </c>
      <c r="D74">
        <v>88</v>
      </c>
      <c r="E74">
        <v>478</v>
      </c>
      <c r="F74">
        <v>2633.1219813122498</v>
      </c>
      <c r="G74" t="s">
        <v>26</v>
      </c>
      <c r="H74">
        <v>57</v>
      </c>
      <c r="I74">
        <v>29</v>
      </c>
      <c r="J74">
        <v>77</v>
      </c>
      <c r="K74">
        <v>9</v>
      </c>
      <c r="L74" t="s">
        <v>36</v>
      </c>
      <c r="M74">
        <v>6.5996141596895397</v>
      </c>
      <c r="N74" t="s">
        <v>39</v>
      </c>
      <c r="O74" t="s">
        <v>53</v>
      </c>
      <c r="P74">
        <v>21</v>
      </c>
      <c r="Q74">
        <v>152</v>
      </c>
      <c r="R74">
        <v>11</v>
      </c>
      <c r="S74">
        <v>55.760492895244198</v>
      </c>
      <c r="T74" t="s">
        <v>30</v>
      </c>
      <c r="U74">
        <v>3.2133296074383</v>
      </c>
      <c r="V74" t="s">
        <v>47</v>
      </c>
      <c r="W74" t="s">
        <v>32</v>
      </c>
      <c r="X74">
        <v>677.94456984618296</v>
      </c>
    </row>
    <row r="75" spans="1:24">
      <c r="A75" t="s">
        <v>57</v>
      </c>
      <c r="B75" t="s">
        <v>127</v>
      </c>
      <c r="C75">
        <v>83.851017681304597</v>
      </c>
      <c r="D75">
        <v>41</v>
      </c>
      <c r="E75">
        <v>375</v>
      </c>
      <c r="F75">
        <v>7910.8869161406801</v>
      </c>
      <c r="G75" t="s">
        <v>55</v>
      </c>
      <c r="H75">
        <v>17</v>
      </c>
      <c r="I75">
        <v>25</v>
      </c>
      <c r="J75">
        <v>66</v>
      </c>
      <c r="K75">
        <v>5</v>
      </c>
      <c r="L75" t="s">
        <v>27</v>
      </c>
      <c r="M75">
        <v>1.5129368369160701</v>
      </c>
      <c r="N75" t="s">
        <v>52</v>
      </c>
      <c r="O75" t="s">
        <v>62</v>
      </c>
      <c r="P75">
        <v>13</v>
      </c>
      <c r="Q75">
        <v>444</v>
      </c>
      <c r="R75">
        <v>4</v>
      </c>
      <c r="S75">
        <v>46.870238797617098</v>
      </c>
      <c r="T75" t="s">
        <v>46</v>
      </c>
      <c r="U75">
        <v>4.6205460645137002</v>
      </c>
      <c r="V75" t="s">
        <v>31</v>
      </c>
      <c r="W75" t="s">
        <v>48</v>
      </c>
      <c r="X75">
        <v>866.472800129657</v>
      </c>
    </row>
    <row r="76" spans="1:24">
      <c r="A76" t="s">
        <v>24</v>
      </c>
      <c r="B76" t="s">
        <v>128</v>
      </c>
      <c r="C76">
        <v>3.1700114135661499</v>
      </c>
      <c r="D76">
        <v>64</v>
      </c>
      <c r="E76">
        <v>904</v>
      </c>
      <c r="F76">
        <v>5709.9452959692799</v>
      </c>
      <c r="G76" t="s">
        <v>35</v>
      </c>
      <c r="H76">
        <v>41</v>
      </c>
      <c r="I76">
        <v>6</v>
      </c>
      <c r="J76">
        <v>1</v>
      </c>
      <c r="K76">
        <v>5</v>
      </c>
      <c r="L76" t="s">
        <v>36</v>
      </c>
      <c r="M76">
        <v>5.2376546500374399</v>
      </c>
      <c r="N76" t="s">
        <v>52</v>
      </c>
      <c r="O76" t="s">
        <v>50</v>
      </c>
      <c r="P76">
        <v>1</v>
      </c>
      <c r="Q76">
        <v>919</v>
      </c>
      <c r="R76">
        <v>9</v>
      </c>
      <c r="S76">
        <v>80.580852156447804</v>
      </c>
      <c r="T76" t="s">
        <v>46</v>
      </c>
      <c r="U76">
        <v>0.39661272410993498</v>
      </c>
      <c r="V76" t="s">
        <v>47</v>
      </c>
      <c r="W76" t="s">
        <v>48</v>
      </c>
      <c r="X76">
        <v>341.55265678322297</v>
      </c>
    </row>
    <row r="77" spans="1:24">
      <c r="A77" t="s">
        <v>33</v>
      </c>
      <c r="B77" t="s">
        <v>129</v>
      </c>
      <c r="C77">
        <v>92.996884233970604</v>
      </c>
      <c r="D77">
        <v>29</v>
      </c>
      <c r="E77">
        <v>106</v>
      </c>
      <c r="F77">
        <v>1889.07358977933</v>
      </c>
      <c r="G77" t="s">
        <v>26</v>
      </c>
      <c r="H77">
        <v>16</v>
      </c>
      <c r="I77">
        <v>20</v>
      </c>
      <c r="J77">
        <v>56</v>
      </c>
      <c r="K77">
        <v>10</v>
      </c>
      <c r="L77" t="s">
        <v>43</v>
      </c>
      <c r="M77">
        <v>2.47389776104546</v>
      </c>
      <c r="N77" t="s">
        <v>39</v>
      </c>
      <c r="O77" t="s">
        <v>62</v>
      </c>
      <c r="P77">
        <v>25</v>
      </c>
      <c r="Q77">
        <v>759</v>
      </c>
      <c r="R77">
        <v>11</v>
      </c>
      <c r="S77">
        <v>48.064782640006499</v>
      </c>
      <c r="T77" t="s">
        <v>64</v>
      </c>
      <c r="U77">
        <v>2.0300690886687498</v>
      </c>
      <c r="V77" t="s">
        <v>40</v>
      </c>
      <c r="W77" t="s">
        <v>41</v>
      </c>
      <c r="X77">
        <v>873.12964801765099</v>
      </c>
    </row>
    <row r="78" spans="1:24">
      <c r="A78" t="s">
        <v>24</v>
      </c>
      <c r="B78" t="s">
        <v>130</v>
      </c>
      <c r="C78">
        <v>69.108799547430294</v>
      </c>
      <c r="D78">
        <v>23</v>
      </c>
      <c r="E78">
        <v>241</v>
      </c>
      <c r="F78">
        <v>5328.3759842977497</v>
      </c>
      <c r="G78" t="s">
        <v>55</v>
      </c>
      <c r="H78">
        <v>38</v>
      </c>
      <c r="I78">
        <v>1</v>
      </c>
      <c r="J78">
        <v>22</v>
      </c>
      <c r="K78">
        <v>10</v>
      </c>
      <c r="L78" t="s">
        <v>36</v>
      </c>
      <c r="M78">
        <v>7.0545383368369201</v>
      </c>
      <c r="N78" t="s">
        <v>61</v>
      </c>
      <c r="O78" t="s">
        <v>53</v>
      </c>
      <c r="P78">
        <v>25</v>
      </c>
      <c r="Q78">
        <v>985</v>
      </c>
      <c r="R78">
        <v>24</v>
      </c>
      <c r="S78">
        <v>64.323597795600193</v>
      </c>
      <c r="T78" t="s">
        <v>30</v>
      </c>
      <c r="U78">
        <v>2.1800374515822099</v>
      </c>
      <c r="V78" t="s">
        <v>47</v>
      </c>
      <c r="W78" t="s">
        <v>48</v>
      </c>
      <c r="X78">
        <v>997.41345013319403</v>
      </c>
    </row>
    <row r="79" spans="1:24">
      <c r="A79" t="s">
        <v>24</v>
      </c>
      <c r="B79" t="s">
        <v>131</v>
      </c>
      <c r="C79">
        <v>57.449742958971399</v>
      </c>
      <c r="D79">
        <v>14</v>
      </c>
      <c r="E79">
        <v>359</v>
      </c>
      <c r="F79">
        <v>2483.7601775427902</v>
      </c>
      <c r="G79" t="s">
        <v>38</v>
      </c>
      <c r="H79">
        <v>96</v>
      </c>
      <c r="I79">
        <v>28</v>
      </c>
      <c r="J79">
        <v>57</v>
      </c>
      <c r="K79">
        <v>4</v>
      </c>
      <c r="L79" t="s">
        <v>27</v>
      </c>
      <c r="M79">
        <v>6.7809466256178901</v>
      </c>
      <c r="N79" t="s">
        <v>39</v>
      </c>
      <c r="O79" t="s">
        <v>45</v>
      </c>
      <c r="P79">
        <v>26</v>
      </c>
      <c r="Q79">
        <v>334</v>
      </c>
      <c r="R79">
        <v>5</v>
      </c>
      <c r="S79">
        <v>42.952444748991802</v>
      </c>
      <c r="T79" t="s">
        <v>64</v>
      </c>
      <c r="U79">
        <v>3.0551418183075398</v>
      </c>
      <c r="V79" t="s">
        <v>31</v>
      </c>
      <c r="W79" t="s">
        <v>32</v>
      </c>
      <c r="X79">
        <v>852.56809891984994</v>
      </c>
    </row>
    <row r="80" spans="1:24">
      <c r="A80" t="s">
        <v>24</v>
      </c>
      <c r="B80" t="s">
        <v>132</v>
      </c>
      <c r="C80">
        <v>6.30688317611191</v>
      </c>
      <c r="D80">
        <v>50</v>
      </c>
      <c r="E80">
        <v>946</v>
      </c>
      <c r="F80">
        <v>1292.45841793775</v>
      </c>
      <c r="G80" t="s">
        <v>38</v>
      </c>
      <c r="H80">
        <v>5</v>
      </c>
      <c r="I80">
        <v>4</v>
      </c>
      <c r="J80">
        <v>51</v>
      </c>
      <c r="K80">
        <v>5</v>
      </c>
      <c r="L80" t="s">
        <v>27</v>
      </c>
      <c r="M80">
        <v>8.4670497708619905</v>
      </c>
      <c r="N80" t="s">
        <v>44</v>
      </c>
      <c r="O80" t="s">
        <v>29</v>
      </c>
      <c r="P80">
        <v>25</v>
      </c>
      <c r="Q80">
        <v>858</v>
      </c>
      <c r="R80">
        <v>21</v>
      </c>
      <c r="S80">
        <v>71.126514720403307</v>
      </c>
      <c r="T80" t="s">
        <v>30</v>
      </c>
      <c r="U80">
        <v>4.0968813324704501</v>
      </c>
      <c r="V80" t="s">
        <v>56</v>
      </c>
      <c r="W80" t="s">
        <v>41</v>
      </c>
      <c r="X80">
        <v>323.59220343132199</v>
      </c>
    </row>
    <row r="81" spans="1:24">
      <c r="A81" t="s">
        <v>24</v>
      </c>
      <c r="B81" t="s">
        <v>133</v>
      </c>
      <c r="C81">
        <v>57.057031221103202</v>
      </c>
      <c r="D81">
        <v>56</v>
      </c>
      <c r="E81">
        <v>198</v>
      </c>
      <c r="F81">
        <v>7888.7232684270803</v>
      </c>
      <c r="G81" t="s">
        <v>26</v>
      </c>
      <c r="H81">
        <v>31</v>
      </c>
      <c r="I81">
        <v>25</v>
      </c>
      <c r="J81">
        <v>20</v>
      </c>
      <c r="K81">
        <v>1</v>
      </c>
      <c r="L81" t="s">
        <v>27</v>
      </c>
      <c r="M81">
        <v>6.49632536429504</v>
      </c>
      <c r="N81" t="s">
        <v>28</v>
      </c>
      <c r="O81" t="s">
        <v>53</v>
      </c>
      <c r="P81">
        <v>5</v>
      </c>
      <c r="Q81">
        <v>228</v>
      </c>
      <c r="R81">
        <v>12</v>
      </c>
      <c r="S81">
        <v>57.870902924036201</v>
      </c>
      <c r="T81" t="s">
        <v>30</v>
      </c>
      <c r="U81">
        <v>0.16587162748060799</v>
      </c>
      <c r="V81" t="s">
        <v>40</v>
      </c>
      <c r="W81" t="s">
        <v>41</v>
      </c>
      <c r="X81">
        <v>351.50421933503799</v>
      </c>
    </row>
    <row r="82" spans="1:24">
      <c r="A82" t="s">
        <v>33</v>
      </c>
      <c r="B82" t="s">
        <v>134</v>
      </c>
      <c r="C82">
        <v>91.128318350444303</v>
      </c>
      <c r="D82">
        <v>75</v>
      </c>
      <c r="E82">
        <v>872</v>
      </c>
      <c r="F82">
        <v>8651.67268298206</v>
      </c>
      <c r="G82" t="s">
        <v>38</v>
      </c>
      <c r="H82">
        <v>39</v>
      </c>
      <c r="I82">
        <v>14</v>
      </c>
      <c r="J82">
        <v>41</v>
      </c>
      <c r="K82">
        <v>2</v>
      </c>
      <c r="L82" t="s">
        <v>43</v>
      </c>
      <c r="M82">
        <v>2.8331846794189701</v>
      </c>
      <c r="N82" t="s">
        <v>28</v>
      </c>
      <c r="O82" t="s">
        <v>62</v>
      </c>
      <c r="P82">
        <v>8</v>
      </c>
      <c r="Q82">
        <v>202</v>
      </c>
      <c r="R82">
        <v>5</v>
      </c>
      <c r="S82">
        <v>76.961228023819999</v>
      </c>
      <c r="T82" t="s">
        <v>46</v>
      </c>
      <c r="U82">
        <v>2.8496621985053299</v>
      </c>
      <c r="V82" t="s">
        <v>56</v>
      </c>
      <c r="W82" t="s">
        <v>32</v>
      </c>
      <c r="X82">
        <v>787.77985049434403</v>
      </c>
    </row>
    <row r="83" spans="1:24">
      <c r="A83" t="s">
        <v>24</v>
      </c>
      <c r="B83" t="s">
        <v>135</v>
      </c>
      <c r="C83">
        <v>72.819206930318202</v>
      </c>
      <c r="D83">
        <v>9</v>
      </c>
      <c r="E83">
        <v>774</v>
      </c>
      <c r="F83">
        <v>4384.4134000458598</v>
      </c>
      <c r="G83" t="s">
        <v>38</v>
      </c>
      <c r="H83">
        <v>48</v>
      </c>
      <c r="I83">
        <v>6</v>
      </c>
      <c r="J83">
        <v>8</v>
      </c>
      <c r="K83">
        <v>5</v>
      </c>
      <c r="L83" t="s">
        <v>27</v>
      </c>
      <c r="M83">
        <v>4.0662775015120403</v>
      </c>
      <c r="N83" t="s">
        <v>28</v>
      </c>
      <c r="O83" t="s">
        <v>50</v>
      </c>
      <c r="P83">
        <v>28</v>
      </c>
      <c r="Q83">
        <v>698</v>
      </c>
      <c r="R83">
        <v>1</v>
      </c>
      <c r="S83">
        <v>19.789592941903599</v>
      </c>
      <c r="T83" t="s">
        <v>30</v>
      </c>
      <c r="U83">
        <v>2.54754712154871</v>
      </c>
      <c r="V83" t="s">
        <v>47</v>
      </c>
      <c r="W83" t="s">
        <v>32</v>
      </c>
      <c r="X83">
        <v>276.77833594679799</v>
      </c>
    </row>
    <row r="84" spans="1:24">
      <c r="A84" t="s">
        <v>33</v>
      </c>
      <c r="B84" t="s">
        <v>136</v>
      </c>
      <c r="C84">
        <v>17.034930739467899</v>
      </c>
      <c r="D84">
        <v>13</v>
      </c>
      <c r="E84">
        <v>336</v>
      </c>
      <c r="F84">
        <v>2943.3818676094502</v>
      </c>
      <c r="G84" t="s">
        <v>38</v>
      </c>
      <c r="H84">
        <v>42</v>
      </c>
      <c r="I84">
        <v>19</v>
      </c>
      <c r="J84">
        <v>72</v>
      </c>
      <c r="K84">
        <v>1</v>
      </c>
      <c r="L84" t="s">
        <v>36</v>
      </c>
      <c r="M84">
        <v>4.7081818735419301</v>
      </c>
      <c r="N84" t="s">
        <v>61</v>
      </c>
      <c r="O84" t="s">
        <v>29</v>
      </c>
      <c r="P84">
        <v>6</v>
      </c>
      <c r="Q84">
        <v>955</v>
      </c>
      <c r="R84">
        <v>26</v>
      </c>
      <c r="S84">
        <v>4.4652784349432402</v>
      </c>
      <c r="T84" t="s">
        <v>30</v>
      </c>
      <c r="U84">
        <v>4.1378770486223502</v>
      </c>
      <c r="V84" t="s">
        <v>31</v>
      </c>
      <c r="W84" t="s">
        <v>41</v>
      </c>
      <c r="X84">
        <v>589.97855562804</v>
      </c>
    </row>
    <row r="85" spans="1:24">
      <c r="A85" t="s">
        <v>24</v>
      </c>
      <c r="B85" t="s">
        <v>137</v>
      </c>
      <c r="C85">
        <v>68.911246211606297</v>
      </c>
      <c r="D85">
        <v>82</v>
      </c>
      <c r="E85">
        <v>663</v>
      </c>
      <c r="F85">
        <v>2411.7546321104901</v>
      </c>
      <c r="G85" t="s">
        <v>38</v>
      </c>
      <c r="H85">
        <v>65</v>
      </c>
      <c r="I85">
        <v>24</v>
      </c>
      <c r="J85">
        <v>7</v>
      </c>
      <c r="K85">
        <v>8</v>
      </c>
      <c r="L85" t="s">
        <v>27</v>
      </c>
      <c r="M85">
        <v>4.94983957799694</v>
      </c>
      <c r="N85" t="s">
        <v>39</v>
      </c>
      <c r="O85" t="s">
        <v>53</v>
      </c>
      <c r="P85">
        <v>20</v>
      </c>
      <c r="Q85">
        <v>443</v>
      </c>
      <c r="R85">
        <v>5</v>
      </c>
      <c r="S85">
        <v>97.730593800533001</v>
      </c>
      <c r="T85" t="s">
        <v>46</v>
      </c>
      <c r="U85">
        <v>0.77300613406724705</v>
      </c>
      <c r="V85" t="s">
        <v>31</v>
      </c>
      <c r="W85" t="s">
        <v>48</v>
      </c>
      <c r="X85">
        <v>682.97101822609295</v>
      </c>
    </row>
    <row r="86" spans="1:24">
      <c r="A86" t="s">
        <v>24</v>
      </c>
      <c r="B86" t="s">
        <v>138</v>
      </c>
      <c r="C86">
        <v>89.104367292102197</v>
      </c>
      <c r="D86">
        <v>99</v>
      </c>
      <c r="E86">
        <v>618</v>
      </c>
      <c r="F86">
        <v>2048.2900998487098</v>
      </c>
      <c r="G86" t="s">
        <v>38</v>
      </c>
      <c r="H86">
        <v>73</v>
      </c>
      <c r="I86">
        <v>26</v>
      </c>
      <c r="J86">
        <v>80</v>
      </c>
      <c r="K86">
        <v>10</v>
      </c>
      <c r="L86" t="s">
        <v>36</v>
      </c>
      <c r="M86">
        <v>8.3816156249226292</v>
      </c>
      <c r="N86" t="s">
        <v>44</v>
      </c>
      <c r="O86" t="s">
        <v>62</v>
      </c>
      <c r="P86">
        <v>24</v>
      </c>
      <c r="Q86">
        <v>589</v>
      </c>
      <c r="R86">
        <v>22</v>
      </c>
      <c r="S86">
        <v>33.808636513209002</v>
      </c>
      <c r="T86" t="s">
        <v>64</v>
      </c>
      <c r="U86">
        <v>4.8434565771180402</v>
      </c>
      <c r="V86" t="s">
        <v>40</v>
      </c>
      <c r="W86" t="s">
        <v>32</v>
      </c>
      <c r="X86">
        <v>465.45700596368698</v>
      </c>
    </row>
    <row r="87" spans="1:24">
      <c r="A87" t="s">
        <v>57</v>
      </c>
      <c r="B87" t="s">
        <v>139</v>
      </c>
      <c r="C87">
        <v>76.962994415193805</v>
      </c>
      <c r="D87">
        <v>83</v>
      </c>
      <c r="E87">
        <v>25</v>
      </c>
      <c r="F87">
        <v>8684.6130592538502</v>
      </c>
      <c r="G87" t="s">
        <v>35</v>
      </c>
      <c r="H87">
        <v>15</v>
      </c>
      <c r="I87">
        <v>18</v>
      </c>
      <c r="J87">
        <v>66</v>
      </c>
      <c r="K87">
        <v>2</v>
      </c>
      <c r="L87" t="s">
        <v>43</v>
      </c>
      <c r="M87">
        <v>8.2491687048717193</v>
      </c>
      <c r="N87" t="s">
        <v>44</v>
      </c>
      <c r="O87" t="s">
        <v>62</v>
      </c>
      <c r="P87">
        <v>4</v>
      </c>
      <c r="Q87">
        <v>211</v>
      </c>
      <c r="R87">
        <v>2</v>
      </c>
      <c r="S87">
        <v>69.929345518672307</v>
      </c>
      <c r="T87" t="s">
        <v>46</v>
      </c>
      <c r="U87">
        <v>1.3744289997457499</v>
      </c>
      <c r="V87" t="s">
        <v>31</v>
      </c>
      <c r="W87" t="s">
        <v>32</v>
      </c>
      <c r="X87">
        <v>842.68683000464102</v>
      </c>
    </row>
    <row r="88" spans="1:24">
      <c r="A88" t="s">
        <v>33</v>
      </c>
      <c r="B88" t="s">
        <v>140</v>
      </c>
      <c r="C88">
        <v>19.9981769404042</v>
      </c>
      <c r="D88">
        <v>18</v>
      </c>
      <c r="E88">
        <v>223</v>
      </c>
      <c r="F88">
        <v>1229.59102856498</v>
      </c>
      <c r="G88" t="s">
        <v>38</v>
      </c>
      <c r="H88">
        <v>32</v>
      </c>
      <c r="I88">
        <v>14</v>
      </c>
      <c r="J88">
        <v>22</v>
      </c>
      <c r="K88">
        <v>6</v>
      </c>
      <c r="L88" t="s">
        <v>27</v>
      </c>
      <c r="M88">
        <v>1.4543053101535499</v>
      </c>
      <c r="N88" t="s">
        <v>39</v>
      </c>
      <c r="O88" t="s">
        <v>29</v>
      </c>
      <c r="P88">
        <v>4</v>
      </c>
      <c r="Q88">
        <v>569</v>
      </c>
      <c r="R88">
        <v>18</v>
      </c>
      <c r="S88">
        <v>74.608969995194599</v>
      </c>
      <c r="T88" t="s">
        <v>64</v>
      </c>
      <c r="U88">
        <v>2.0515129307662399</v>
      </c>
      <c r="V88" t="s">
        <v>47</v>
      </c>
      <c r="W88" t="s">
        <v>48</v>
      </c>
      <c r="X88">
        <v>264.25488983586598</v>
      </c>
    </row>
    <row r="89" spans="1:24">
      <c r="A89" t="s">
        <v>24</v>
      </c>
      <c r="B89" t="s">
        <v>141</v>
      </c>
      <c r="C89">
        <v>80.414036650355698</v>
      </c>
      <c r="D89">
        <v>24</v>
      </c>
      <c r="E89">
        <v>79</v>
      </c>
      <c r="F89">
        <v>5133.8467010866898</v>
      </c>
      <c r="G89" t="s">
        <v>55</v>
      </c>
      <c r="H89">
        <v>5</v>
      </c>
      <c r="I89">
        <v>7</v>
      </c>
      <c r="J89">
        <v>55</v>
      </c>
      <c r="K89">
        <v>10</v>
      </c>
      <c r="L89" t="s">
        <v>36</v>
      </c>
      <c r="M89">
        <v>6.5758037975485299</v>
      </c>
      <c r="N89" t="s">
        <v>28</v>
      </c>
      <c r="O89" t="s">
        <v>62</v>
      </c>
      <c r="P89">
        <v>27</v>
      </c>
      <c r="Q89">
        <v>523</v>
      </c>
      <c r="R89">
        <v>17</v>
      </c>
      <c r="S89">
        <v>28.696996824143099</v>
      </c>
      <c r="T89" t="s">
        <v>46</v>
      </c>
      <c r="U89">
        <v>3.6937377878392699</v>
      </c>
      <c r="V89" t="s">
        <v>56</v>
      </c>
      <c r="W89" t="s">
        <v>32</v>
      </c>
      <c r="X89">
        <v>879.35921773492396</v>
      </c>
    </row>
    <row r="90" spans="1:24">
      <c r="A90" t="s">
        <v>57</v>
      </c>
      <c r="B90" t="s">
        <v>142</v>
      </c>
      <c r="C90">
        <v>75.270406975724995</v>
      </c>
      <c r="D90">
        <v>58</v>
      </c>
      <c r="E90">
        <v>737</v>
      </c>
      <c r="F90">
        <v>9444.7420330629793</v>
      </c>
      <c r="G90" t="s">
        <v>55</v>
      </c>
      <c r="H90">
        <v>60</v>
      </c>
      <c r="I90">
        <v>18</v>
      </c>
      <c r="J90">
        <v>85</v>
      </c>
      <c r="K90">
        <v>7</v>
      </c>
      <c r="L90" t="s">
        <v>36</v>
      </c>
      <c r="M90">
        <v>3.8012531329310701</v>
      </c>
      <c r="N90" t="s">
        <v>61</v>
      </c>
      <c r="O90" t="s">
        <v>29</v>
      </c>
      <c r="P90">
        <v>21</v>
      </c>
      <c r="Q90">
        <v>953</v>
      </c>
      <c r="R90">
        <v>11</v>
      </c>
      <c r="S90">
        <v>68.1849190570411</v>
      </c>
      <c r="T90" t="s">
        <v>30</v>
      </c>
      <c r="U90">
        <v>0.722204401882931</v>
      </c>
      <c r="V90" t="s">
        <v>56</v>
      </c>
      <c r="W90" t="s">
        <v>48</v>
      </c>
      <c r="X90">
        <v>103.916247960704</v>
      </c>
    </row>
    <row r="91" spans="1:24">
      <c r="A91" t="s">
        <v>57</v>
      </c>
      <c r="B91" t="s">
        <v>143</v>
      </c>
      <c r="C91">
        <v>97.760085581938597</v>
      </c>
      <c r="D91">
        <v>10</v>
      </c>
      <c r="E91">
        <v>134</v>
      </c>
      <c r="F91">
        <v>5924.6825668532301</v>
      </c>
      <c r="G91" t="s">
        <v>38</v>
      </c>
      <c r="H91">
        <v>90</v>
      </c>
      <c r="I91">
        <v>1</v>
      </c>
      <c r="J91">
        <v>27</v>
      </c>
      <c r="K91">
        <v>8</v>
      </c>
      <c r="L91" t="s">
        <v>27</v>
      </c>
      <c r="M91">
        <v>9.9298162452772498</v>
      </c>
      <c r="N91" t="s">
        <v>39</v>
      </c>
      <c r="O91" t="s">
        <v>45</v>
      </c>
      <c r="P91">
        <v>23</v>
      </c>
      <c r="Q91">
        <v>370</v>
      </c>
      <c r="R91">
        <v>11</v>
      </c>
      <c r="S91">
        <v>46.603873381644398</v>
      </c>
      <c r="T91" t="s">
        <v>30</v>
      </c>
      <c r="U91">
        <v>1.9076657339590699</v>
      </c>
      <c r="V91" t="s">
        <v>47</v>
      </c>
      <c r="W91" t="s">
        <v>32</v>
      </c>
      <c r="X91">
        <v>517.49997392906005</v>
      </c>
    </row>
    <row r="92" spans="1:24">
      <c r="A92" t="s">
        <v>33</v>
      </c>
      <c r="B92" t="s">
        <v>144</v>
      </c>
      <c r="C92">
        <v>13.881913501359101</v>
      </c>
      <c r="D92">
        <v>56</v>
      </c>
      <c r="E92">
        <v>320</v>
      </c>
      <c r="F92">
        <v>9592.6335702803099</v>
      </c>
      <c r="G92" t="s">
        <v>26</v>
      </c>
      <c r="H92">
        <v>66</v>
      </c>
      <c r="I92">
        <v>18</v>
      </c>
      <c r="J92">
        <v>96</v>
      </c>
      <c r="K92">
        <v>7</v>
      </c>
      <c r="L92" t="s">
        <v>27</v>
      </c>
      <c r="M92">
        <v>7.6744307081126903</v>
      </c>
      <c r="N92" t="s">
        <v>28</v>
      </c>
      <c r="O92" t="s">
        <v>53</v>
      </c>
      <c r="P92">
        <v>8</v>
      </c>
      <c r="Q92">
        <v>585</v>
      </c>
      <c r="R92">
        <v>8</v>
      </c>
      <c r="S92">
        <v>85.675963335797903</v>
      </c>
      <c r="T92" t="s">
        <v>64</v>
      </c>
      <c r="U92">
        <v>1.2193822244013801</v>
      </c>
      <c r="V92" t="s">
        <v>47</v>
      </c>
      <c r="W92" t="s">
        <v>32</v>
      </c>
      <c r="X92">
        <v>990.07847250581096</v>
      </c>
    </row>
    <row r="93" spans="1:24">
      <c r="A93" t="s">
        <v>57</v>
      </c>
      <c r="B93" t="s">
        <v>145</v>
      </c>
      <c r="C93">
        <v>62.111965463961702</v>
      </c>
      <c r="D93">
        <v>90</v>
      </c>
      <c r="E93">
        <v>916</v>
      </c>
      <c r="F93">
        <v>1935.20679350759</v>
      </c>
      <c r="G93" t="s">
        <v>55</v>
      </c>
      <c r="H93">
        <v>98</v>
      </c>
      <c r="I93">
        <v>22</v>
      </c>
      <c r="J93">
        <v>85</v>
      </c>
      <c r="K93">
        <v>7</v>
      </c>
      <c r="L93" t="s">
        <v>27</v>
      </c>
      <c r="M93">
        <v>7.4715140844011403</v>
      </c>
      <c r="N93" t="s">
        <v>52</v>
      </c>
      <c r="O93" t="s">
        <v>50</v>
      </c>
      <c r="P93">
        <v>5</v>
      </c>
      <c r="Q93">
        <v>207</v>
      </c>
      <c r="R93">
        <v>28</v>
      </c>
      <c r="S93">
        <v>39.772882502339897</v>
      </c>
      <c r="T93" t="s">
        <v>30</v>
      </c>
      <c r="U93">
        <v>0.62600185820939402</v>
      </c>
      <c r="V93" t="s">
        <v>47</v>
      </c>
      <c r="W93" t="s">
        <v>32</v>
      </c>
      <c r="X93">
        <v>996.77831495062298</v>
      </c>
    </row>
    <row r="94" spans="1:24">
      <c r="A94" t="s">
        <v>57</v>
      </c>
      <c r="B94" t="s">
        <v>146</v>
      </c>
      <c r="C94">
        <v>47.714233075820196</v>
      </c>
      <c r="D94">
        <v>44</v>
      </c>
      <c r="E94">
        <v>276</v>
      </c>
      <c r="F94">
        <v>2100.1297546259302</v>
      </c>
      <c r="G94" t="s">
        <v>55</v>
      </c>
      <c r="H94">
        <v>90</v>
      </c>
      <c r="I94">
        <v>25</v>
      </c>
      <c r="J94">
        <v>10</v>
      </c>
      <c r="K94">
        <v>8</v>
      </c>
      <c r="L94" t="s">
        <v>27</v>
      </c>
      <c r="M94">
        <v>4.4695000261236002</v>
      </c>
      <c r="N94" t="s">
        <v>61</v>
      </c>
      <c r="O94" t="s">
        <v>29</v>
      </c>
      <c r="P94">
        <v>4</v>
      </c>
      <c r="Q94">
        <v>671</v>
      </c>
      <c r="R94">
        <v>29</v>
      </c>
      <c r="S94">
        <v>62.612690395614301</v>
      </c>
      <c r="T94" t="s">
        <v>64</v>
      </c>
      <c r="U94">
        <v>0.33343182522473902</v>
      </c>
      <c r="V94" t="s">
        <v>47</v>
      </c>
      <c r="W94" t="s">
        <v>32</v>
      </c>
      <c r="X94">
        <v>230.092782536762</v>
      </c>
    </row>
    <row r="95" spans="1:24">
      <c r="A95" t="s">
        <v>24</v>
      </c>
      <c r="B95" t="s">
        <v>147</v>
      </c>
      <c r="C95">
        <v>69.290831002905406</v>
      </c>
      <c r="D95">
        <v>88</v>
      </c>
      <c r="E95">
        <v>114</v>
      </c>
      <c r="F95">
        <v>4531.4021336919004</v>
      </c>
      <c r="G95" t="s">
        <v>38</v>
      </c>
      <c r="H95">
        <v>63</v>
      </c>
      <c r="I95">
        <v>17</v>
      </c>
      <c r="J95">
        <v>66</v>
      </c>
      <c r="K95">
        <v>1</v>
      </c>
      <c r="L95" t="s">
        <v>43</v>
      </c>
      <c r="M95">
        <v>7.00643205900439</v>
      </c>
      <c r="N95" t="s">
        <v>52</v>
      </c>
      <c r="O95" t="s">
        <v>62</v>
      </c>
      <c r="P95">
        <v>21</v>
      </c>
      <c r="Q95">
        <v>824</v>
      </c>
      <c r="R95">
        <v>20</v>
      </c>
      <c r="S95">
        <v>35.633652343343797</v>
      </c>
      <c r="T95" t="s">
        <v>46</v>
      </c>
      <c r="U95">
        <v>4.1657817954241398</v>
      </c>
      <c r="V95" t="s">
        <v>40</v>
      </c>
      <c r="W95" t="s">
        <v>48</v>
      </c>
      <c r="X95">
        <v>823.52384588815505</v>
      </c>
    </row>
    <row r="96" spans="1:24">
      <c r="A96" t="s">
        <v>57</v>
      </c>
      <c r="B96" t="s">
        <v>148</v>
      </c>
      <c r="C96">
        <v>3.0376887246314102</v>
      </c>
      <c r="D96">
        <v>97</v>
      </c>
      <c r="E96">
        <v>987</v>
      </c>
      <c r="F96">
        <v>7888.3565466618702</v>
      </c>
      <c r="G96" t="s">
        <v>38</v>
      </c>
      <c r="H96">
        <v>77</v>
      </c>
      <c r="I96">
        <v>26</v>
      </c>
      <c r="J96">
        <v>72</v>
      </c>
      <c r="K96">
        <v>9</v>
      </c>
      <c r="L96" t="s">
        <v>27</v>
      </c>
      <c r="M96">
        <v>6.9429459420325799</v>
      </c>
      <c r="N96" t="s">
        <v>61</v>
      </c>
      <c r="O96" t="s">
        <v>50</v>
      </c>
      <c r="P96">
        <v>12</v>
      </c>
      <c r="Q96">
        <v>908</v>
      </c>
      <c r="R96">
        <v>14</v>
      </c>
      <c r="S96">
        <v>60.387378614862101</v>
      </c>
      <c r="T96" t="s">
        <v>64</v>
      </c>
      <c r="U96">
        <v>1.4636074984727701</v>
      </c>
      <c r="V96" t="s">
        <v>47</v>
      </c>
      <c r="W96" t="s">
        <v>32</v>
      </c>
      <c r="X96">
        <v>846.66525698669398</v>
      </c>
    </row>
    <row r="97" spans="1:24">
      <c r="A97" t="s">
        <v>24</v>
      </c>
      <c r="B97" t="s">
        <v>149</v>
      </c>
      <c r="C97">
        <v>77.903927219447695</v>
      </c>
      <c r="D97">
        <v>65</v>
      </c>
      <c r="E97">
        <v>672</v>
      </c>
      <c r="F97">
        <v>7386.3639440486604</v>
      </c>
      <c r="G97" t="s">
        <v>38</v>
      </c>
      <c r="H97">
        <v>15</v>
      </c>
      <c r="I97">
        <v>14</v>
      </c>
      <c r="J97">
        <v>26</v>
      </c>
      <c r="K97">
        <v>9</v>
      </c>
      <c r="L97" t="s">
        <v>27</v>
      </c>
      <c r="M97">
        <v>8.6303388696027508</v>
      </c>
      <c r="N97" t="s">
        <v>52</v>
      </c>
      <c r="O97" t="s">
        <v>29</v>
      </c>
      <c r="P97">
        <v>18</v>
      </c>
      <c r="Q97">
        <v>450</v>
      </c>
      <c r="R97">
        <v>26</v>
      </c>
      <c r="S97">
        <v>58.890685768589897</v>
      </c>
      <c r="T97" t="s">
        <v>30</v>
      </c>
      <c r="U97">
        <v>1.21088212958506</v>
      </c>
      <c r="V97" t="s">
        <v>40</v>
      </c>
      <c r="W97" t="s">
        <v>48</v>
      </c>
      <c r="X97">
        <v>778.86424137664699</v>
      </c>
    </row>
    <row r="98" spans="1:24">
      <c r="A98" t="s">
        <v>57</v>
      </c>
      <c r="B98" t="s">
        <v>150</v>
      </c>
      <c r="C98">
        <v>24.423131420373299</v>
      </c>
      <c r="D98">
        <v>29</v>
      </c>
      <c r="E98">
        <v>324</v>
      </c>
      <c r="F98">
        <v>7698.4247656321104</v>
      </c>
      <c r="G98" t="s">
        <v>26</v>
      </c>
      <c r="H98">
        <v>67</v>
      </c>
      <c r="I98">
        <v>2</v>
      </c>
      <c r="J98">
        <v>32</v>
      </c>
      <c r="K98">
        <v>3</v>
      </c>
      <c r="L98" t="s">
        <v>43</v>
      </c>
      <c r="M98">
        <v>5.3528780439967996</v>
      </c>
      <c r="N98" t="s">
        <v>28</v>
      </c>
      <c r="O98" t="s">
        <v>29</v>
      </c>
      <c r="P98">
        <v>28</v>
      </c>
      <c r="Q98">
        <v>648</v>
      </c>
      <c r="R98">
        <v>28</v>
      </c>
      <c r="S98">
        <v>17.803756331391199</v>
      </c>
      <c r="T98" t="s">
        <v>30</v>
      </c>
      <c r="U98">
        <v>3.8720476814821301</v>
      </c>
      <c r="V98" t="s">
        <v>31</v>
      </c>
      <c r="W98" t="s">
        <v>48</v>
      </c>
      <c r="X98">
        <v>188.74214114905601</v>
      </c>
    </row>
    <row r="99" spans="1:24">
      <c r="A99" t="s">
        <v>24</v>
      </c>
      <c r="B99" t="s">
        <v>151</v>
      </c>
      <c r="C99">
        <v>3.5261112591434101</v>
      </c>
      <c r="D99">
        <v>56</v>
      </c>
      <c r="E99">
        <v>62</v>
      </c>
      <c r="F99">
        <v>4370.9165799845296</v>
      </c>
      <c r="G99" t="s">
        <v>55</v>
      </c>
      <c r="H99">
        <v>46</v>
      </c>
      <c r="I99">
        <v>19</v>
      </c>
      <c r="J99">
        <v>4</v>
      </c>
      <c r="K99">
        <v>9</v>
      </c>
      <c r="L99" t="s">
        <v>36</v>
      </c>
      <c r="M99">
        <v>7.9048456112096703</v>
      </c>
      <c r="N99" t="s">
        <v>52</v>
      </c>
      <c r="O99" t="s">
        <v>29</v>
      </c>
      <c r="P99">
        <v>10</v>
      </c>
      <c r="Q99">
        <v>535</v>
      </c>
      <c r="R99">
        <v>13</v>
      </c>
      <c r="S99">
        <v>65.765155926367399</v>
      </c>
      <c r="T99" t="s">
        <v>46</v>
      </c>
      <c r="U99">
        <v>3.3762378347179798</v>
      </c>
      <c r="V99" t="s">
        <v>31</v>
      </c>
      <c r="W99" t="s">
        <v>48</v>
      </c>
      <c r="X99">
        <v>540.13242286796697</v>
      </c>
    </row>
    <row r="100" spans="1:24">
      <c r="A100" t="s">
        <v>33</v>
      </c>
      <c r="B100" t="s">
        <v>152</v>
      </c>
      <c r="C100">
        <v>19.754604866878601</v>
      </c>
      <c r="D100">
        <v>43</v>
      </c>
      <c r="E100">
        <v>913</v>
      </c>
      <c r="F100">
        <v>8525.9525596835192</v>
      </c>
      <c r="G100" t="s">
        <v>35</v>
      </c>
      <c r="H100">
        <v>53</v>
      </c>
      <c r="I100">
        <v>1</v>
      </c>
      <c r="J100">
        <v>27</v>
      </c>
      <c r="K100">
        <v>7</v>
      </c>
      <c r="L100" t="s">
        <v>27</v>
      </c>
      <c r="M100">
        <v>1.4098010951380699</v>
      </c>
      <c r="N100" t="s">
        <v>44</v>
      </c>
      <c r="O100" t="s">
        <v>62</v>
      </c>
      <c r="P100">
        <v>28</v>
      </c>
      <c r="Q100">
        <v>581</v>
      </c>
      <c r="R100">
        <v>9</v>
      </c>
      <c r="S100">
        <v>5.6046908643717801</v>
      </c>
      <c r="T100" t="s">
        <v>30</v>
      </c>
      <c r="U100">
        <v>2.9081221693512598</v>
      </c>
      <c r="V100" t="s">
        <v>47</v>
      </c>
      <c r="W100" t="s">
        <v>48</v>
      </c>
      <c r="X100">
        <v>882.19886354704101</v>
      </c>
    </row>
    <row r="101" spans="1:24">
      <c r="A101" t="s">
        <v>24</v>
      </c>
      <c r="B101" t="s">
        <v>153</v>
      </c>
      <c r="C101">
        <v>68.517832699276596</v>
      </c>
      <c r="D101">
        <v>17</v>
      </c>
      <c r="E101">
        <v>627</v>
      </c>
      <c r="F101">
        <v>9185.1858291817007</v>
      </c>
      <c r="G101" t="s">
        <v>38</v>
      </c>
      <c r="H101">
        <v>55</v>
      </c>
      <c r="I101">
        <v>8</v>
      </c>
      <c r="J101">
        <v>59</v>
      </c>
      <c r="K101">
        <v>6</v>
      </c>
      <c r="L101" t="s">
        <v>27</v>
      </c>
      <c r="M101">
        <v>1.3110237561206199</v>
      </c>
      <c r="N101" t="s">
        <v>61</v>
      </c>
      <c r="O101" t="s">
        <v>62</v>
      </c>
      <c r="P101">
        <v>29</v>
      </c>
      <c r="Q101">
        <v>921</v>
      </c>
      <c r="R101">
        <v>2</v>
      </c>
      <c r="S101">
        <v>38.072898520625998</v>
      </c>
      <c r="T101" t="s">
        <v>46</v>
      </c>
      <c r="U101">
        <v>0.34602729070550298</v>
      </c>
      <c r="V101" t="s">
        <v>47</v>
      </c>
      <c r="W101" t="s">
        <v>32</v>
      </c>
      <c r="X101">
        <v>210.743008964246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01352-81FE-4AFB-A943-B131CFEE3ABA}">
  <dimension ref="A1:AB101"/>
  <sheetViews>
    <sheetView topLeftCell="G1" zoomScale="47" workbookViewId="0">
      <pane ySplit="1" topLeftCell="A2" activePane="bottomLeft" state="frozen"/>
      <selection pane="bottomLeft" activeCell="T108" sqref="T108"/>
    </sheetView>
  </sheetViews>
  <sheetFormatPr defaultRowHeight="14.4"/>
  <cols>
    <col min="1" max="1" width="13.88671875" bestFit="1" customWidth="1"/>
    <col min="2" max="2" width="8.109375" bestFit="1" customWidth="1"/>
    <col min="3" max="3" width="13.88671875" style="1" bestFit="1" customWidth="1"/>
    <col min="4" max="4" width="12.21875" bestFit="1" customWidth="1"/>
    <col min="5" max="5" width="26.5546875" bestFit="1" customWidth="1"/>
    <col min="6" max="6" width="21" style="1" bestFit="1" customWidth="1"/>
    <col min="7" max="7" width="26.33203125" bestFit="1" customWidth="1"/>
    <col min="8" max="8" width="13.109375" bestFit="1" customWidth="1"/>
    <col min="9" max="9" width="12.21875" bestFit="1" customWidth="1"/>
    <col min="10" max="10" width="17.5546875" bestFit="1" customWidth="1"/>
    <col min="11" max="11" width="16.77734375" bestFit="1" customWidth="1"/>
    <col min="12" max="12" width="18.88671875" bestFit="1" customWidth="1"/>
    <col min="13" max="13" width="16.5546875" bestFit="1" customWidth="1"/>
    <col min="14" max="14" width="16.21875" bestFit="1" customWidth="1"/>
    <col min="15" max="15" width="11.44140625" bestFit="1" customWidth="1"/>
    <col min="16" max="16" width="11" bestFit="1" customWidth="1"/>
    <col min="17" max="17" width="21.5546875" bestFit="1" customWidth="1"/>
    <col min="18" max="18" width="26.109375" bestFit="1" customWidth="1"/>
    <col min="19" max="19" width="22.109375" bestFit="1" customWidth="1"/>
    <col min="20" max="20" width="19.109375" bestFit="1" customWidth="1"/>
    <col min="21" max="21" width="21.88671875" customWidth="1"/>
    <col min="22" max="22" width="23.44140625" bestFit="1" customWidth="1"/>
    <col min="23" max="23" width="9.109375" bestFit="1" customWidth="1"/>
    <col min="24" max="24" width="13.88671875" bestFit="1" customWidth="1"/>
    <col min="25" max="25" width="22.6640625" customWidth="1"/>
    <col min="26" max="26" width="25.44140625" customWidth="1"/>
    <col min="27" max="27" width="14.5546875" bestFit="1" customWidth="1"/>
    <col min="28" max="28" width="19.77734375" bestFit="1" customWidth="1"/>
  </cols>
  <sheetData>
    <row r="1" spans="1:28">
      <c r="A1" t="s">
        <v>0</v>
      </c>
      <c r="B1" t="s">
        <v>1</v>
      </c>
      <c r="C1" s="1" t="s">
        <v>2</v>
      </c>
      <c r="D1" t="s">
        <v>3</v>
      </c>
      <c r="E1" t="s">
        <v>4</v>
      </c>
      <c r="F1" s="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154</v>
      </c>
      <c r="Z1" t="s">
        <v>155</v>
      </c>
      <c r="AA1" t="s">
        <v>159</v>
      </c>
      <c r="AB1" t="s">
        <v>160</v>
      </c>
    </row>
    <row r="2" spans="1:28">
      <c r="A2" t="s">
        <v>24</v>
      </c>
      <c r="B2" t="s">
        <v>25</v>
      </c>
      <c r="C2" s="1">
        <v>69.808005542115694</v>
      </c>
      <c r="D2">
        <v>55</v>
      </c>
      <c r="E2">
        <v>802</v>
      </c>
      <c r="F2" s="1">
        <v>8661.9967923923796</v>
      </c>
      <c r="G2" t="s">
        <v>26</v>
      </c>
      <c r="H2">
        <v>58</v>
      </c>
      <c r="I2">
        <v>7</v>
      </c>
      <c r="J2">
        <v>96</v>
      </c>
      <c r="K2">
        <v>4</v>
      </c>
      <c r="L2" t="s">
        <v>27</v>
      </c>
      <c r="M2">
        <v>2.9565721394308002</v>
      </c>
      <c r="N2" t="s">
        <v>28</v>
      </c>
      <c r="O2" t="s">
        <v>29</v>
      </c>
      <c r="P2">
        <v>29</v>
      </c>
      <c r="Q2">
        <v>215</v>
      </c>
      <c r="R2">
        <v>29</v>
      </c>
      <c r="S2">
        <v>46.279879240508301</v>
      </c>
      <c r="T2" t="s">
        <v>30</v>
      </c>
      <c r="U2">
        <v>0.226410360849925</v>
      </c>
      <c r="V2" t="s">
        <v>31</v>
      </c>
      <c r="W2" t="s">
        <v>32</v>
      </c>
      <c r="X2">
        <v>187.75207545920301</v>
      </c>
      <c r="Y2" t="str">
        <f>VLOOKUP(N2,Table2[],3,0)</f>
        <v>Short</v>
      </c>
      <c r="Z2">
        <f>_xlfn.XLOOKUP(N2,Table2[Supplier name],Table2[Reliability score],"not found")</f>
        <v>9</v>
      </c>
      <c r="AA2">
        <f>INDEX($U$2:$U$101,MATCH(N2,$N$2:$N$101,0))</f>
        <v>0.226410360849925</v>
      </c>
      <c r="AB2">
        <f>IFERROR(INDEX($U$2:$U$101,MATCH(N2,$N$2:$N$101,0)),"No data")</f>
        <v>0.226410360849925</v>
      </c>
    </row>
    <row r="3" spans="1:28">
      <c r="A3" t="s">
        <v>33</v>
      </c>
      <c r="B3" t="s">
        <v>34</v>
      </c>
      <c r="C3" s="1">
        <v>14.8435232750843</v>
      </c>
      <c r="D3">
        <v>95</v>
      </c>
      <c r="E3">
        <v>736</v>
      </c>
      <c r="F3" s="1">
        <v>7460.9000654458396</v>
      </c>
      <c r="G3" t="s">
        <v>35</v>
      </c>
      <c r="H3">
        <v>53</v>
      </c>
      <c r="I3">
        <v>30</v>
      </c>
      <c r="J3">
        <v>37</v>
      </c>
      <c r="K3">
        <v>2</v>
      </c>
      <c r="L3" t="s">
        <v>36</v>
      </c>
      <c r="M3">
        <v>9.7165747714313095</v>
      </c>
      <c r="N3" t="s">
        <v>28</v>
      </c>
      <c r="O3" t="s">
        <v>29</v>
      </c>
      <c r="P3">
        <v>23</v>
      </c>
      <c r="Q3">
        <v>517</v>
      </c>
      <c r="R3">
        <v>30</v>
      </c>
      <c r="S3">
        <v>33.616768953730002</v>
      </c>
      <c r="T3" t="s">
        <v>30</v>
      </c>
      <c r="U3">
        <v>4.8540680263886999</v>
      </c>
      <c r="V3" t="s">
        <v>31</v>
      </c>
      <c r="W3" t="s">
        <v>32</v>
      </c>
      <c r="X3">
        <v>503.06557914966902</v>
      </c>
      <c r="Y3" t="str">
        <f>VLOOKUP(N3,Table2[],3,0)</f>
        <v>Short</v>
      </c>
      <c r="Z3">
        <f>_xlfn.XLOOKUP(N3,Table2[Supplier name],Table2[Reliability score],"not found")</f>
        <v>9</v>
      </c>
      <c r="AA3">
        <f t="shared" ref="AA3:AA66" si="0">INDEX($U$2:$U$101,MATCH(N3,$N$2:$N$101,0))</f>
        <v>0.226410360849925</v>
      </c>
      <c r="AB3">
        <f t="shared" ref="AB3:AB66" si="1">IFERROR(INDEX($U$2:$U$101,MATCH(N3,$N$2:$N$101,0)),"No data")</f>
        <v>0.226410360849925</v>
      </c>
    </row>
    <row r="4" spans="1:28">
      <c r="A4" t="s">
        <v>24</v>
      </c>
      <c r="B4" t="s">
        <v>37</v>
      </c>
      <c r="C4" s="1">
        <v>11.319683293090501</v>
      </c>
      <c r="D4">
        <v>34</v>
      </c>
      <c r="E4">
        <v>8</v>
      </c>
      <c r="F4" s="1">
        <v>9577.7496258687297</v>
      </c>
      <c r="G4" t="s">
        <v>38</v>
      </c>
      <c r="H4">
        <v>1</v>
      </c>
      <c r="I4">
        <v>10</v>
      </c>
      <c r="J4">
        <v>88</v>
      </c>
      <c r="K4">
        <v>2</v>
      </c>
      <c r="L4" t="s">
        <v>27</v>
      </c>
      <c r="M4">
        <v>8.0544792617321495</v>
      </c>
      <c r="N4" t="s">
        <v>39</v>
      </c>
      <c r="O4" t="s">
        <v>29</v>
      </c>
      <c r="P4">
        <v>12</v>
      </c>
      <c r="Q4">
        <v>971</v>
      </c>
      <c r="R4">
        <v>27</v>
      </c>
      <c r="S4">
        <v>30.6880193482842</v>
      </c>
      <c r="T4" t="s">
        <v>30</v>
      </c>
      <c r="U4">
        <v>4.5805926191992201</v>
      </c>
      <c r="V4" t="s">
        <v>40</v>
      </c>
      <c r="W4" t="s">
        <v>41</v>
      </c>
      <c r="X4">
        <v>141.920281771519</v>
      </c>
      <c r="Y4" t="str">
        <f>VLOOKUP(N4,Table2[],3,0)</f>
        <v>Short</v>
      </c>
      <c r="Z4">
        <f>_xlfn.XLOOKUP(N4,Table2[Supplier name],Table2[Reliability score],"not found")</f>
        <v>8</v>
      </c>
      <c r="AA4">
        <f t="shared" si="0"/>
        <v>4.5805926191992201</v>
      </c>
      <c r="AB4">
        <f t="shared" si="1"/>
        <v>4.5805926191992201</v>
      </c>
    </row>
    <row r="5" spans="1:28">
      <c r="A5" t="s">
        <v>33</v>
      </c>
      <c r="B5" t="s">
        <v>42</v>
      </c>
      <c r="C5" s="1">
        <v>61.1633430164377</v>
      </c>
      <c r="D5">
        <v>68</v>
      </c>
      <c r="E5">
        <v>83</v>
      </c>
      <c r="F5" s="1">
        <v>7766.8364256852301</v>
      </c>
      <c r="G5" t="s">
        <v>26</v>
      </c>
      <c r="H5">
        <v>23</v>
      </c>
      <c r="I5">
        <v>13</v>
      </c>
      <c r="J5">
        <v>59</v>
      </c>
      <c r="K5">
        <v>6</v>
      </c>
      <c r="L5" t="s">
        <v>43</v>
      </c>
      <c r="M5">
        <v>1.7295685635434199</v>
      </c>
      <c r="N5" t="s">
        <v>44</v>
      </c>
      <c r="O5" t="s">
        <v>45</v>
      </c>
      <c r="P5">
        <v>24</v>
      </c>
      <c r="Q5">
        <v>937</v>
      </c>
      <c r="R5">
        <v>18</v>
      </c>
      <c r="S5">
        <v>35.624741397125</v>
      </c>
      <c r="T5" t="s">
        <v>46</v>
      </c>
      <c r="U5">
        <v>4.7466486206477496</v>
      </c>
      <c r="V5" t="s">
        <v>47</v>
      </c>
      <c r="W5" t="s">
        <v>48</v>
      </c>
      <c r="X5">
        <v>254.776159219286</v>
      </c>
      <c r="Y5" t="str">
        <f>VLOOKUP(N5,Table2[],3,0)</f>
        <v>Medium</v>
      </c>
      <c r="Z5">
        <f>_xlfn.XLOOKUP(N5,Table2[Supplier name],Table2[Reliability score],"not found")</f>
        <v>7</v>
      </c>
      <c r="AA5">
        <f t="shared" si="0"/>
        <v>4.7466486206477496</v>
      </c>
      <c r="AB5">
        <f t="shared" si="1"/>
        <v>4.7466486206477496</v>
      </c>
    </row>
    <row r="6" spans="1:28">
      <c r="A6" t="s">
        <v>33</v>
      </c>
      <c r="B6" t="s">
        <v>49</v>
      </c>
      <c r="C6" s="1">
        <v>4.8054960363458896</v>
      </c>
      <c r="D6">
        <v>26</v>
      </c>
      <c r="E6">
        <v>871</v>
      </c>
      <c r="F6" s="1">
        <v>2686.50515156744</v>
      </c>
      <c r="G6" t="s">
        <v>26</v>
      </c>
      <c r="H6">
        <v>5</v>
      </c>
      <c r="I6">
        <v>3</v>
      </c>
      <c r="J6">
        <v>56</v>
      </c>
      <c r="K6">
        <v>8</v>
      </c>
      <c r="L6" t="s">
        <v>36</v>
      </c>
      <c r="M6">
        <v>3.8905479158706702</v>
      </c>
      <c r="N6" t="s">
        <v>39</v>
      </c>
      <c r="O6" t="s">
        <v>50</v>
      </c>
      <c r="P6">
        <v>5</v>
      </c>
      <c r="Q6">
        <v>414</v>
      </c>
      <c r="R6">
        <v>3</v>
      </c>
      <c r="S6">
        <v>92.065160598712794</v>
      </c>
      <c r="T6" t="s">
        <v>46</v>
      </c>
      <c r="U6">
        <v>3.1455795228330001</v>
      </c>
      <c r="V6" t="s">
        <v>40</v>
      </c>
      <c r="W6" t="s">
        <v>48</v>
      </c>
      <c r="X6">
        <v>923.44063171192204</v>
      </c>
      <c r="Y6" t="str">
        <f>VLOOKUP(N6,Table2[],3,0)</f>
        <v>Short</v>
      </c>
      <c r="Z6">
        <f>_xlfn.XLOOKUP(N6,Table2[Supplier name],Table2[Reliability score],"not found")</f>
        <v>8</v>
      </c>
      <c r="AA6">
        <f t="shared" si="0"/>
        <v>4.5805926191992201</v>
      </c>
      <c r="AB6">
        <f t="shared" si="1"/>
        <v>4.5805926191992201</v>
      </c>
    </row>
    <row r="7" spans="1:28">
      <c r="A7" t="s">
        <v>24</v>
      </c>
      <c r="B7" t="s">
        <v>51</v>
      </c>
      <c r="C7" s="1">
        <v>1.6999760138659299</v>
      </c>
      <c r="D7">
        <v>87</v>
      </c>
      <c r="E7">
        <v>147</v>
      </c>
      <c r="F7" s="1">
        <v>2828.3487459757498</v>
      </c>
      <c r="G7" t="s">
        <v>26</v>
      </c>
      <c r="H7">
        <v>90</v>
      </c>
      <c r="I7">
        <v>27</v>
      </c>
      <c r="J7">
        <v>66</v>
      </c>
      <c r="K7">
        <v>3</v>
      </c>
      <c r="L7" t="s">
        <v>27</v>
      </c>
      <c r="M7">
        <v>4.4440988643822896</v>
      </c>
      <c r="N7" t="s">
        <v>52</v>
      </c>
      <c r="O7" t="s">
        <v>53</v>
      </c>
      <c r="P7">
        <v>10</v>
      </c>
      <c r="Q7">
        <v>104</v>
      </c>
      <c r="R7">
        <v>17</v>
      </c>
      <c r="S7">
        <v>56.766475557431797</v>
      </c>
      <c r="T7" t="s">
        <v>46</v>
      </c>
      <c r="U7">
        <v>2.7791935115711599</v>
      </c>
      <c r="V7" t="s">
        <v>31</v>
      </c>
      <c r="W7" t="s">
        <v>48</v>
      </c>
      <c r="X7">
        <v>235.461236735537</v>
      </c>
      <c r="Y7" t="str">
        <f>VLOOKUP(N7,Table2[],3,0)</f>
        <v>Long</v>
      </c>
      <c r="Z7">
        <f>_xlfn.XLOOKUP(N7,Table2[Supplier name],Table2[Reliability score],"not found")</f>
        <v>5</v>
      </c>
      <c r="AA7">
        <f t="shared" si="0"/>
        <v>2.7791935115711599</v>
      </c>
      <c r="AB7">
        <f t="shared" si="1"/>
        <v>2.7791935115711599</v>
      </c>
    </row>
    <row r="8" spans="1:28">
      <c r="A8" t="s">
        <v>33</v>
      </c>
      <c r="B8" t="s">
        <v>54</v>
      </c>
      <c r="C8" s="1">
        <v>4.0783328631079403</v>
      </c>
      <c r="D8">
        <v>48</v>
      </c>
      <c r="E8">
        <v>65</v>
      </c>
      <c r="F8" s="1">
        <v>7823.4765595317303</v>
      </c>
      <c r="G8" t="s">
        <v>55</v>
      </c>
      <c r="H8">
        <v>11</v>
      </c>
      <c r="I8">
        <v>15</v>
      </c>
      <c r="J8">
        <v>58</v>
      </c>
      <c r="K8">
        <v>8</v>
      </c>
      <c r="L8" t="s">
        <v>43</v>
      </c>
      <c r="M8">
        <v>3.8807633029519999</v>
      </c>
      <c r="N8" t="s">
        <v>28</v>
      </c>
      <c r="O8" t="s">
        <v>45</v>
      </c>
      <c r="P8">
        <v>14</v>
      </c>
      <c r="Q8">
        <v>314</v>
      </c>
      <c r="R8">
        <v>24</v>
      </c>
      <c r="S8">
        <v>1.0850685695870601</v>
      </c>
      <c r="T8" t="s">
        <v>30</v>
      </c>
      <c r="U8">
        <v>1.0009106193041299</v>
      </c>
      <c r="V8" t="s">
        <v>56</v>
      </c>
      <c r="W8" t="s">
        <v>48</v>
      </c>
      <c r="X8">
        <v>134.36909686103101</v>
      </c>
      <c r="Y8" t="str">
        <f>VLOOKUP(N8,Table2[],3,0)</f>
        <v>Short</v>
      </c>
      <c r="Z8">
        <f>_xlfn.XLOOKUP(N8,Table2[Supplier name],Table2[Reliability score],"not found")</f>
        <v>9</v>
      </c>
      <c r="AA8">
        <f t="shared" si="0"/>
        <v>0.226410360849925</v>
      </c>
      <c r="AB8">
        <f t="shared" si="1"/>
        <v>0.226410360849925</v>
      </c>
    </row>
    <row r="9" spans="1:28">
      <c r="A9" t="s">
        <v>57</v>
      </c>
      <c r="B9" t="s">
        <v>58</v>
      </c>
      <c r="C9" s="1">
        <v>42.958384382459997</v>
      </c>
      <c r="D9">
        <v>59</v>
      </c>
      <c r="E9">
        <v>426</v>
      </c>
      <c r="F9" s="1">
        <v>8496.1038130898305</v>
      </c>
      <c r="G9" t="s">
        <v>35</v>
      </c>
      <c r="H9">
        <v>93</v>
      </c>
      <c r="I9">
        <v>17</v>
      </c>
      <c r="J9">
        <v>11</v>
      </c>
      <c r="K9">
        <v>1</v>
      </c>
      <c r="L9" t="s">
        <v>27</v>
      </c>
      <c r="M9">
        <v>2.3483387844177801</v>
      </c>
      <c r="N9" t="s">
        <v>52</v>
      </c>
      <c r="O9" t="s">
        <v>53</v>
      </c>
      <c r="P9">
        <v>22</v>
      </c>
      <c r="Q9">
        <v>564</v>
      </c>
      <c r="R9">
        <v>1</v>
      </c>
      <c r="S9">
        <v>99.466108603599096</v>
      </c>
      <c r="T9" t="s">
        <v>46</v>
      </c>
      <c r="U9">
        <v>0.39817718685065001</v>
      </c>
      <c r="V9" t="s">
        <v>31</v>
      </c>
      <c r="W9" t="s">
        <v>41</v>
      </c>
      <c r="X9">
        <v>802.05631181755803</v>
      </c>
      <c r="Y9" t="str">
        <f>VLOOKUP(N9,Table2[],3,0)</f>
        <v>Long</v>
      </c>
      <c r="Z9">
        <f>_xlfn.XLOOKUP(N9,Table2[Supplier name],Table2[Reliability score],"not found")</f>
        <v>5</v>
      </c>
      <c r="AA9">
        <f t="shared" si="0"/>
        <v>2.7791935115711599</v>
      </c>
      <c r="AB9">
        <f t="shared" si="1"/>
        <v>2.7791935115711599</v>
      </c>
    </row>
    <row r="10" spans="1:28">
      <c r="A10" t="s">
        <v>57</v>
      </c>
      <c r="B10" t="s">
        <v>59</v>
      </c>
      <c r="C10" s="1">
        <v>68.717596748527299</v>
      </c>
      <c r="D10">
        <v>78</v>
      </c>
      <c r="E10">
        <v>150</v>
      </c>
      <c r="F10" s="1">
        <v>7517.3632106311197</v>
      </c>
      <c r="G10" t="s">
        <v>35</v>
      </c>
      <c r="H10">
        <v>5</v>
      </c>
      <c r="I10">
        <v>10</v>
      </c>
      <c r="J10">
        <v>15</v>
      </c>
      <c r="K10">
        <v>7</v>
      </c>
      <c r="L10" t="s">
        <v>43</v>
      </c>
      <c r="M10">
        <v>3.4047338570830199</v>
      </c>
      <c r="N10" t="s">
        <v>52</v>
      </c>
      <c r="O10" t="s">
        <v>29</v>
      </c>
      <c r="P10">
        <v>13</v>
      </c>
      <c r="Q10">
        <v>769</v>
      </c>
      <c r="R10">
        <v>8</v>
      </c>
      <c r="S10">
        <v>11.423027139565599</v>
      </c>
      <c r="T10" t="s">
        <v>30</v>
      </c>
      <c r="U10">
        <v>2.7098626911099601</v>
      </c>
      <c r="V10" t="s">
        <v>56</v>
      </c>
      <c r="W10" t="s">
        <v>32</v>
      </c>
      <c r="X10">
        <v>505.55713422546398</v>
      </c>
      <c r="Y10" t="str">
        <f>VLOOKUP(N10,Table2[],3,0)</f>
        <v>Long</v>
      </c>
      <c r="Z10">
        <f>_xlfn.XLOOKUP(N10,Table2[Supplier name],Table2[Reliability score],"not found")</f>
        <v>5</v>
      </c>
      <c r="AA10">
        <f t="shared" si="0"/>
        <v>2.7791935115711599</v>
      </c>
      <c r="AB10">
        <f t="shared" si="1"/>
        <v>2.7791935115711599</v>
      </c>
    </row>
    <row r="11" spans="1:28">
      <c r="A11" t="s">
        <v>33</v>
      </c>
      <c r="B11" t="s">
        <v>60</v>
      </c>
      <c r="C11" s="1">
        <v>64.0157329412785</v>
      </c>
      <c r="D11">
        <v>35</v>
      </c>
      <c r="E11">
        <v>980</v>
      </c>
      <c r="F11" s="1">
        <v>4971.1459875855498</v>
      </c>
      <c r="G11" t="s">
        <v>38</v>
      </c>
      <c r="H11">
        <v>14</v>
      </c>
      <c r="I11">
        <v>27</v>
      </c>
      <c r="J11">
        <v>83</v>
      </c>
      <c r="K11">
        <v>1</v>
      </c>
      <c r="L11" t="s">
        <v>36</v>
      </c>
      <c r="M11">
        <v>7.1666452910482104</v>
      </c>
      <c r="N11" t="s">
        <v>61</v>
      </c>
      <c r="O11" t="s">
        <v>62</v>
      </c>
      <c r="P11">
        <v>29</v>
      </c>
      <c r="Q11">
        <v>963</v>
      </c>
      <c r="R11">
        <v>23</v>
      </c>
      <c r="S11">
        <v>47.957601634951502</v>
      </c>
      <c r="T11" t="s">
        <v>30</v>
      </c>
      <c r="U11">
        <v>3.8446144787675798</v>
      </c>
      <c r="V11" t="s">
        <v>47</v>
      </c>
      <c r="W11" t="s">
        <v>32</v>
      </c>
      <c r="X11">
        <v>995.92946149864099</v>
      </c>
      <c r="Y11" t="str">
        <f>VLOOKUP(N11,Table2[],3,0)</f>
        <v>Medium</v>
      </c>
      <c r="Z11">
        <f>_xlfn.XLOOKUP(N11,Table2[Supplier name],Table2[Reliability score],"not found")</f>
        <v>6</v>
      </c>
      <c r="AA11">
        <f t="shared" si="0"/>
        <v>3.8446144787675798</v>
      </c>
      <c r="AB11">
        <f t="shared" si="1"/>
        <v>3.8446144787675798</v>
      </c>
    </row>
    <row r="12" spans="1:28">
      <c r="A12" t="s">
        <v>33</v>
      </c>
      <c r="B12" t="s">
        <v>63</v>
      </c>
      <c r="C12" s="1">
        <v>15.707795681912099</v>
      </c>
      <c r="D12">
        <v>11</v>
      </c>
      <c r="E12">
        <v>996</v>
      </c>
      <c r="F12" s="1">
        <v>2330.9658020919401</v>
      </c>
      <c r="G12" t="s">
        <v>26</v>
      </c>
      <c r="H12">
        <v>51</v>
      </c>
      <c r="I12">
        <v>13</v>
      </c>
      <c r="J12">
        <v>80</v>
      </c>
      <c r="K12">
        <v>2</v>
      </c>
      <c r="L12" t="s">
        <v>43</v>
      </c>
      <c r="M12">
        <v>8.6732112112786108</v>
      </c>
      <c r="N12" t="s">
        <v>44</v>
      </c>
      <c r="O12" t="s">
        <v>45</v>
      </c>
      <c r="P12">
        <v>18</v>
      </c>
      <c r="Q12">
        <v>830</v>
      </c>
      <c r="R12">
        <v>5</v>
      </c>
      <c r="S12">
        <v>96.527352785310896</v>
      </c>
      <c r="T12" t="s">
        <v>64</v>
      </c>
      <c r="U12">
        <v>1.72731392835594</v>
      </c>
      <c r="V12" t="s">
        <v>31</v>
      </c>
      <c r="W12" t="s">
        <v>32</v>
      </c>
      <c r="X12">
        <v>806.10317770292295</v>
      </c>
      <c r="Y12" t="str">
        <f>VLOOKUP(N12,Table2[],3,0)</f>
        <v>Medium</v>
      </c>
      <c r="Z12">
        <f>_xlfn.XLOOKUP(N12,Table2[Supplier name],Table2[Reliability score],"not found")</f>
        <v>7</v>
      </c>
      <c r="AA12">
        <f t="shared" si="0"/>
        <v>4.7466486206477496</v>
      </c>
      <c r="AB12">
        <f t="shared" si="1"/>
        <v>4.7466486206477496</v>
      </c>
    </row>
    <row r="13" spans="1:28">
      <c r="A13" t="s">
        <v>33</v>
      </c>
      <c r="B13" t="s">
        <v>65</v>
      </c>
      <c r="C13" s="1">
        <v>90.635459982288594</v>
      </c>
      <c r="D13">
        <v>95</v>
      </c>
      <c r="E13">
        <v>960</v>
      </c>
      <c r="F13" s="1">
        <v>6099.9441155814502</v>
      </c>
      <c r="G13" t="s">
        <v>35</v>
      </c>
      <c r="H13">
        <v>46</v>
      </c>
      <c r="I13">
        <v>23</v>
      </c>
      <c r="J13">
        <v>60</v>
      </c>
      <c r="K13">
        <v>1</v>
      </c>
      <c r="L13" t="s">
        <v>36</v>
      </c>
      <c r="M13">
        <v>4.5239431243166601</v>
      </c>
      <c r="N13" t="s">
        <v>61</v>
      </c>
      <c r="O13" t="s">
        <v>45</v>
      </c>
      <c r="P13">
        <v>28</v>
      </c>
      <c r="Q13">
        <v>362</v>
      </c>
      <c r="R13">
        <v>11</v>
      </c>
      <c r="S13">
        <v>27.5923630866636</v>
      </c>
      <c r="T13" t="s">
        <v>30</v>
      </c>
      <c r="U13">
        <v>2.1169821372994301E-2</v>
      </c>
      <c r="V13" t="s">
        <v>40</v>
      </c>
      <c r="W13" t="s">
        <v>48</v>
      </c>
      <c r="X13">
        <v>126.72303340940699</v>
      </c>
      <c r="Y13" t="str">
        <f>VLOOKUP(N13,Table2[],3,0)</f>
        <v>Medium</v>
      </c>
      <c r="Z13">
        <f>_xlfn.XLOOKUP(N13,Table2[Supplier name],Table2[Reliability score],"not found")</f>
        <v>6</v>
      </c>
      <c r="AA13">
        <f t="shared" si="0"/>
        <v>3.8446144787675798</v>
      </c>
      <c r="AB13">
        <f t="shared" si="1"/>
        <v>3.8446144787675798</v>
      </c>
    </row>
    <row r="14" spans="1:28">
      <c r="A14" t="s">
        <v>24</v>
      </c>
      <c r="B14" t="s">
        <v>66</v>
      </c>
      <c r="C14" s="1">
        <v>71.213389075359999</v>
      </c>
      <c r="D14">
        <v>41</v>
      </c>
      <c r="E14">
        <v>336</v>
      </c>
      <c r="F14" s="1">
        <v>2873.74144602144</v>
      </c>
      <c r="G14" t="s">
        <v>38</v>
      </c>
      <c r="H14">
        <v>100</v>
      </c>
      <c r="I14">
        <v>30</v>
      </c>
      <c r="J14">
        <v>85</v>
      </c>
      <c r="K14">
        <v>4</v>
      </c>
      <c r="L14" t="s">
        <v>36</v>
      </c>
      <c r="M14">
        <v>1.32527401018452</v>
      </c>
      <c r="N14" t="s">
        <v>52</v>
      </c>
      <c r="O14" t="s">
        <v>45</v>
      </c>
      <c r="P14">
        <v>3</v>
      </c>
      <c r="Q14">
        <v>563</v>
      </c>
      <c r="R14">
        <v>3</v>
      </c>
      <c r="S14">
        <v>32.321286213424003</v>
      </c>
      <c r="T14" t="s">
        <v>46</v>
      </c>
      <c r="U14">
        <v>2.1612537475559099</v>
      </c>
      <c r="V14" t="s">
        <v>31</v>
      </c>
      <c r="W14" t="s">
        <v>32</v>
      </c>
      <c r="X14">
        <v>402.96878907376998</v>
      </c>
      <c r="Y14" t="str">
        <f>VLOOKUP(N14,Table2[],3,0)</f>
        <v>Long</v>
      </c>
      <c r="Z14">
        <f>_xlfn.XLOOKUP(N14,Table2[Supplier name],Table2[Reliability score],"not found")</f>
        <v>5</v>
      </c>
      <c r="AA14">
        <f t="shared" si="0"/>
        <v>2.7791935115711599</v>
      </c>
      <c r="AB14">
        <f t="shared" si="1"/>
        <v>2.7791935115711599</v>
      </c>
    </row>
    <row r="15" spans="1:28">
      <c r="A15" t="s">
        <v>33</v>
      </c>
      <c r="B15" t="s">
        <v>67</v>
      </c>
      <c r="C15" s="1">
        <v>16.160393317379899</v>
      </c>
      <c r="D15">
        <v>5</v>
      </c>
      <c r="E15">
        <v>249</v>
      </c>
      <c r="F15" s="1">
        <v>4052.7384162378598</v>
      </c>
      <c r="G15" t="s">
        <v>55</v>
      </c>
      <c r="H15">
        <v>80</v>
      </c>
      <c r="I15">
        <v>8</v>
      </c>
      <c r="J15">
        <v>48</v>
      </c>
      <c r="K15">
        <v>9</v>
      </c>
      <c r="L15" t="s">
        <v>36</v>
      </c>
      <c r="M15">
        <v>9.5372830611083295</v>
      </c>
      <c r="N15" t="s">
        <v>44</v>
      </c>
      <c r="O15" t="s">
        <v>53</v>
      </c>
      <c r="P15">
        <v>23</v>
      </c>
      <c r="Q15">
        <v>173</v>
      </c>
      <c r="R15">
        <v>10</v>
      </c>
      <c r="S15">
        <v>97.829050110173199</v>
      </c>
      <c r="T15" t="s">
        <v>30</v>
      </c>
      <c r="U15">
        <v>1.63107423007153</v>
      </c>
      <c r="V15" t="s">
        <v>31</v>
      </c>
      <c r="W15" t="s">
        <v>32</v>
      </c>
      <c r="X15">
        <v>547.24100516096803</v>
      </c>
      <c r="Y15" t="str">
        <f>VLOOKUP(N15,Table2[],3,0)</f>
        <v>Medium</v>
      </c>
      <c r="Z15">
        <f>_xlfn.XLOOKUP(N15,Table2[Supplier name],Table2[Reliability score],"not found")</f>
        <v>7</v>
      </c>
      <c r="AA15">
        <f t="shared" si="0"/>
        <v>4.7466486206477496</v>
      </c>
      <c r="AB15">
        <f t="shared" si="1"/>
        <v>4.7466486206477496</v>
      </c>
    </row>
    <row r="16" spans="1:28">
      <c r="A16" t="s">
        <v>33</v>
      </c>
      <c r="B16" t="s">
        <v>68</v>
      </c>
      <c r="C16" s="1">
        <v>99.171328638624104</v>
      </c>
      <c r="D16">
        <v>26</v>
      </c>
      <c r="E16">
        <v>562</v>
      </c>
      <c r="F16" s="1">
        <v>8653.5709264697998</v>
      </c>
      <c r="G16" t="s">
        <v>26</v>
      </c>
      <c r="H16">
        <v>54</v>
      </c>
      <c r="I16">
        <v>29</v>
      </c>
      <c r="J16">
        <v>78</v>
      </c>
      <c r="K16">
        <v>5</v>
      </c>
      <c r="L16" t="s">
        <v>27</v>
      </c>
      <c r="M16">
        <v>2.0397701894493299</v>
      </c>
      <c r="N16" t="s">
        <v>39</v>
      </c>
      <c r="O16" t="s">
        <v>45</v>
      </c>
      <c r="P16">
        <v>25</v>
      </c>
      <c r="Q16">
        <v>558</v>
      </c>
      <c r="R16">
        <v>14</v>
      </c>
      <c r="S16">
        <v>5.7914366298629796</v>
      </c>
      <c r="T16" t="s">
        <v>30</v>
      </c>
      <c r="U16">
        <v>0.100682851565093</v>
      </c>
      <c r="V16" t="s">
        <v>40</v>
      </c>
      <c r="W16" t="s">
        <v>32</v>
      </c>
      <c r="X16">
        <v>929.23528996088896</v>
      </c>
      <c r="Y16" t="str">
        <f>VLOOKUP(N16,Table2[],3,0)</f>
        <v>Short</v>
      </c>
      <c r="Z16">
        <f>_xlfn.XLOOKUP(N16,Table2[Supplier name],Table2[Reliability score],"not found")</f>
        <v>8</v>
      </c>
      <c r="AA16">
        <f t="shared" si="0"/>
        <v>4.5805926191992201</v>
      </c>
      <c r="AB16">
        <f t="shared" si="1"/>
        <v>4.5805926191992201</v>
      </c>
    </row>
    <row r="17" spans="1:28">
      <c r="A17" t="s">
        <v>33</v>
      </c>
      <c r="B17" t="s">
        <v>69</v>
      </c>
      <c r="C17" s="1">
        <v>36.989244928626903</v>
      </c>
      <c r="D17">
        <v>94</v>
      </c>
      <c r="E17">
        <v>469</v>
      </c>
      <c r="F17" s="1">
        <v>5442.0867853976697</v>
      </c>
      <c r="G17" t="s">
        <v>26</v>
      </c>
      <c r="H17">
        <v>9</v>
      </c>
      <c r="I17">
        <v>8</v>
      </c>
      <c r="J17">
        <v>69</v>
      </c>
      <c r="K17">
        <v>7</v>
      </c>
      <c r="L17" t="s">
        <v>27</v>
      </c>
      <c r="M17">
        <v>2.4220397232752</v>
      </c>
      <c r="N17" t="s">
        <v>39</v>
      </c>
      <c r="O17" t="s">
        <v>53</v>
      </c>
      <c r="P17">
        <v>14</v>
      </c>
      <c r="Q17">
        <v>580</v>
      </c>
      <c r="R17">
        <v>7</v>
      </c>
      <c r="S17">
        <v>97.121281751474299</v>
      </c>
      <c r="T17" t="s">
        <v>64</v>
      </c>
      <c r="U17">
        <v>2.2644057611985402</v>
      </c>
      <c r="V17" t="s">
        <v>56</v>
      </c>
      <c r="W17" t="s">
        <v>32</v>
      </c>
      <c r="X17">
        <v>127.861800001625</v>
      </c>
      <c r="Y17" t="str">
        <f>VLOOKUP(N17,Table2[],3,0)</f>
        <v>Short</v>
      </c>
      <c r="Z17">
        <f>_xlfn.XLOOKUP(N17,Table2[Supplier name],Table2[Reliability score],"not found")</f>
        <v>8</v>
      </c>
      <c r="AA17">
        <f t="shared" si="0"/>
        <v>4.5805926191992201</v>
      </c>
      <c r="AB17">
        <f t="shared" si="1"/>
        <v>4.5805926191992201</v>
      </c>
    </row>
    <row r="18" spans="1:28">
      <c r="A18" t="s">
        <v>33</v>
      </c>
      <c r="B18" t="s">
        <v>70</v>
      </c>
      <c r="C18" s="1">
        <v>7.5471721097912701</v>
      </c>
      <c r="D18">
        <v>74</v>
      </c>
      <c r="E18">
        <v>280</v>
      </c>
      <c r="F18" s="1">
        <v>6453.7979681762799</v>
      </c>
      <c r="G18" t="s">
        <v>35</v>
      </c>
      <c r="H18">
        <v>2</v>
      </c>
      <c r="I18">
        <v>5</v>
      </c>
      <c r="J18">
        <v>78</v>
      </c>
      <c r="K18">
        <v>1</v>
      </c>
      <c r="L18" t="s">
        <v>27</v>
      </c>
      <c r="M18">
        <v>4.1913245857054999</v>
      </c>
      <c r="N18" t="s">
        <v>39</v>
      </c>
      <c r="O18" t="s">
        <v>53</v>
      </c>
      <c r="P18">
        <v>3</v>
      </c>
      <c r="Q18">
        <v>399</v>
      </c>
      <c r="R18">
        <v>21</v>
      </c>
      <c r="S18">
        <v>77.106342497849994</v>
      </c>
      <c r="T18" t="s">
        <v>64</v>
      </c>
      <c r="U18">
        <v>1.01256308925804</v>
      </c>
      <c r="V18" t="s">
        <v>40</v>
      </c>
      <c r="W18" t="s">
        <v>48</v>
      </c>
      <c r="X18">
        <v>865.52577977123997</v>
      </c>
      <c r="Y18" t="str">
        <f>VLOOKUP(N18,Table2[],3,0)</f>
        <v>Short</v>
      </c>
      <c r="Z18">
        <f>_xlfn.XLOOKUP(N18,Table2[Supplier name],Table2[Reliability score],"not found")</f>
        <v>8</v>
      </c>
      <c r="AA18">
        <f t="shared" si="0"/>
        <v>4.5805926191992201</v>
      </c>
      <c r="AB18">
        <f t="shared" si="1"/>
        <v>4.5805926191992201</v>
      </c>
    </row>
    <row r="19" spans="1:28">
      <c r="A19" t="s">
        <v>57</v>
      </c>
      <c r="B19" t="s">
        <v>71</v>
      </c>
      <c r="C19" s="1">
        <v>81.462534369237005</v>
      </c>
      <c r="D19">
        <v>82</v>
      </c>
      <c r="E19">
        <v>126</v>
      </c>
      <c r="F19" s="1">
        <v>2629.39643484526</v>
      </c>
      <c r="G19" t="s">
        <v>35</v>
      </c>
      <c r="H19">
        <v>45</v>
      </c>
      <c r="I19">
        <v>17</v>
      </c>
      <c r="J19">
        <v>85</v>
      </c>
      <c r="K19">
        <v>9</v>
      </c>
      <c r="L19" t="s">
        <v>43</v>
      </c>
      <c r="M19">
        <v>3.5854189582323399</v>
      </c>
      <c r="N19" t="s">
        <v>39</v>
      </c>
      <c r="O19" t="s">
        <v>62</v>
      </c>
      <c r="P19">
        <v>7</v>
      </c>
      <c r="Q19">
        <v>453</v>
      </c>
      <c r="R19">
        <v>16</v>
      </c>
      <c r="S19">
        <v>47.679680368355299</v>
      </c>
      <c r="T19" t="s">
        <v>46</v>
      </c>
      <c r="U19">
        <v>0.102020754918176</v>
      </c>
      <c r="V19" t="s">
        <v>40</v>
      </c>
      <c r="W19" t="s">
        <v>41</v>
      </c>
      <c r="X19">
        <v>670.93439079241</v>
      </c>
      <c r="Y19" t="str">
        <f>VLOOKUP(N19,Table2[],3,0)</f>
        <v>Short</v>
      </c>
      <c r="Z19">
        <f>_xlfn.XLOOKUP(N19,Table2[Supplier name],Table2[Reliability score],"not found")</f>
        <v>8</v>
      </c>
      <c r="AA19">
        <f t="shared" si="0"/>
        <v>4.5805926191992201</v>
      </c>
      <c r="AB19">
        <f t="shared" si="1"/>
        <v>4.5805926191992201</v>
      </c>
    </row>
    <row r="20" spans="1:28">
      <c r="A20" t="s">
        <v>24</v>
      </c>
      <c r="B20" t="s">
        <v>72</v>
      </c>
      <c r="C20" s="1">
        <v>36.4436277704609</v>
      </c>
      <c r="D20">
        <v>23</v>
      </c>
      <c r="E20">
        <v>620</v>
      </c>
      <c r="F20" s="1">
        <v>9364.6735050761708</v>
      </c>
      <c r="G20" t="s">
        <v>38</v>
      </c>
      <c r="H20">
        <v>10</v>
      </c>
      <c r="I20">
        <v>10</v>
      </c>
      <c r="J20">
        <v>46</v>
      </c>
      <c r="K20">
        <v>8</v>
      </c>
      <c r="L20" t="s">
        <v>43</v>
      </c>
      <c r="M20">
        <v>4.3392247141107001</v>
      </c>
      <c r="N20" t="s">
        <v>61</v>
      </c>
      <c r="O20" t="s">
        <v>45</v>
      </c>
      <c r="P20">
        <v>18</v>
      </c>
      <c r="Q20">
        <v>374</v>
      </c>
      <c r="R20">
        <v>17</v>
      </c>
      <c r="S20">
        <v>27.107980854843898</v>
      </c>
      <c r="T20" t="s">
        <v>30</v>
      </c>
      <c r="U20">
        <v>2.2319391107292601</v>
      </c>
      <c r="V20" t="s">
        <v>56</v>
      </c>
      <c r="W20" t="s">
        <v>48</v>
      </c>
      <c r="X20">
        <v>593.48025872065102</v>
      </c>
      <c r="Y20" t="str">
        <f>VLOOKUP(N20,Table2[],3,0)</f>
        <v>Medium</v>
      </c>
      <c r="Z20">
        <f>_xlfn.XLOOKUP(N20,Table2[Supplier name],Table2[Reliability score],"not found")</f>
        <v>6</v>
      </c>
      <c r="AA20">
        <f t="shared" si="0"/>
        <v>3.8446144787675798</v>
      </c>
      <c r="AB20">
        <f t="shared" si="1"/>
        <v>3.8446144787675798</v>
      </c>
    </row>
    <row r="21" spans="1:28">
      <c r="A21" t="s">
        <v>33</v>
      </c>
      <c r="B21" t="s">
        <v>73</v>
      </c>
      <c r="C21" s="1">
        <v>51.123870087964697</v>
      </c>
      <c r="D21">
        <v>100</v>
      </c>
      <c r="E21">
        <v>187</v>
      </c>
      <c r="F21" s="1">
        <v>2553.4955849912099</v>
      </c>
      <c r="G21" t="s">
        <v>38</v>
      </c>
      <c r="H21">
        <v>48</v>
      </c>
      <c r="I21">
        <v>11</v>
      </c>
      <c r="J21">
        <v>94</v>
      </c>
      <c r="K21">
        <v>3</v>
      </c>
      <c r="L21" t="s">
        <v>36</v>
      </c>
      <c r="M21">
        <v>4.7426358828418698</v>
      </c>
      <c r="N21" t="s">
        <v>52</v>
      </c>
      <c r="O21" t="s">
        <v>62</v>
      </c>
      <c r="P21">
        <v>20</v>
      </c>
      <c r="Q21">
        <v>694</v>
      </c>
      <c r="R21">
        <v>16</v>
      </c>
      <c r="S21">
        <v>82.373320587990193</v>
      </c>
      <c r="T21" t="s">
        <v>46</v>
      </c>
      <c r="U21">
        <v>3.64645086541702</v>
      </c>
      <c r="V21" t="s">
        <v>31</v>
      </c>
      <c r="W21" t="s">
        <v>41</v>
      </c>
      <c r="X21">
        <v>477.30763109090299</v>
      </c>
      <c r="Y21" t="str">
        <f>VLOOKUP(N21,Table2[],3,0)</f>
        <v>Long</v>
      </c>
      <c r="Z21">
        <f>_xlfn.XLOOKUP(N21,Table2[Supplier name],Table2[Reliability score],"not found")</f>
        <v>5</v>
      </c>
      <c r="AA21">
        <f t="shared" si="0"/>
        <v>2.7791935115711599</v>
      </c>
      <c r="AB21">
        <f t="shared" si="1"/>
        <v>2.7791935115711599</v>
      </c>
    </row>
    <row r="22" spans="1:28">
      <c r="A22" t="s">
        <v>33</v>
      </c>
      <c r="B22" t="s">
        <v>74</v>
      </c>
      <c r="C22" s="1">
        <v>96.341072439963298</v>
      </c>
      <c r="D22">
        <v>22</v>
      </c>
      <c r="E22">
        <v>320</v>
      </c>
      <c r="F22" s="1">
        <v>8128.0276968511898</v>
      </c>
      <c r="G22" t="s">
        <v>38</v>
      </c>
      <c r="H22">
        <v>27</v>
      </c>
      <c r="I22">
        <v>12</v>
      </c>
      <c r="J22">
        <v>68</v>
      </c>
      <c r="K22">
        <v>6</v>
      </c>
      <c r="L22" t="s">
        <v>36</v>
      </c>
      <c r="M22">
        <v>8.8783346509268402</v>
      </c>
      <c r="N22" t="s">
        <v>39</v>
      </c>
      <c r="O22" t="s">
        <v>62</v>
      </c>
      <c r="P22">
        <v>29</v>
      </c>
      <c r="Q22">
        <v>309</v>
      </c>
      <c r="R22">
        <v>6</v>
      </c>
      <c r="S22">
        <v>65.686259608488598</v>
      </c>
      <c r="T22" t="s">
        <v>64</v>
      </c>
      <c r="U22">
        <v>4.2314165735345304</v>
      </c>
      <c r="V22" t="s">
        <v>40</v>
      </c>
      <c r="W22" t="s">
        <v>32</v>
      </c>
      <c r="X22">
        <v>493.871215316205</v>
      </c>
      <c r="Y22" t="str">
        <f>VLOOKUP(N22,Table2[],3,0)</f>
        <v>Short</v>
      </c>
      <c r="Z22">
        <f>_xlfn.XLOOKUP(N22,Table2[Supplier name],Table2[Reliability score],"not found")</f>
        <v>8</v>
      </c>
      <c r="AA22">
        <f t="shared" si="0"/>
        <v>4.5805926191992201</v>
      </c>
      <c r="AB22">
        <f t="shared" si="1"/>
        <v>4.5805926191992201</v>
      </c>
    </row>
    <row r="23" spans="1:28">
      <c r="A23" t="s">
        <v>57</v>
      </c>
      <c r="B23" t="s">
        <v>75</v>
      </c>
      <c r="C23" s="1">
        <v>84.893868984950799</v>
      </c>
      <c r="D23">
        <v>60</v>
      </c>
      <c r="E23">
        <v>601</v>
      </c>
      <c r="F23" s="1">
        <v>7087.0526963574302</v>
      </c>
      <c r="G23" t="s">
        <v>38</v>
      </c>
      <c r="H23">
        <v>69</v>
      </c>
      <c r="I23">
        <v>25</v>
      </c>
      <c r="J23">
        <v>7</v>
      </c>
      <c r="K23">
        <v>6</v>
      </c>
      <c r="L23" t="s">
        <v>27</v>
      </c>
      <c r="M23">
        <v>6.0378837692182898</v>
      </c>
      <c r="N23" t="s">
        <v>44</v>
      </c>
      <c r="O23" t="s">
        <v>62</v>
      </c>
      <c r="P23">
        <v>19</v>
      </c>
      <c r="Q23">
        <v>791</v>
      </c>
      <c r="R23">
        <v>4</v>
      </c>
      <c r="S23">
        <v>61.735728954160898</v>
      </c>
      <c r="T23" t="s">
        <v>30</v>
      </c>
      <c r="U23">
        <v>1.8607567631014899E-2</v>
      </c>
      <c r="V23" t="s">
        <v>40</v>
      </c>
      <c r="W23" t="s">
        <v>41</v>
      </c>
      <c r="X23">
        <v>523.36091472015801</v>
      </c>
      <c r="Y23" t="str">
        <f>VLOOKUP(N23,Table2[],3,0)</f>
        <v>Medium</v>
      </c>
      <c r="Z23">
        <f>_xlfn.XLOOKUP(N23,Table2[Supplier name],Table2[Reliability score],"not found")</f>
        <v>7</v>
      </c>
      <c r="AA23">
        <f t="shared" si="0"/>
        <v>4.7466486206477496</v>
      </c>
      <c r="AB23">
        <f t="shared" si="1"/>
        <v>4.7466486206477496</v>
      </c>
    </row>
    <row r="24" spans="1:28">
      <c r="A24" t="s">
        <v>24</v>
      </c>
      <c r="B24" t="s">
        <v>76</v>
      </c>
      <c r="C24" s="1">
        <v>27.679780886501899</v>
      </c>
      <c r="D24">
        <v>55</v>
      </c>
      <c r="E24">
        <v>884</v>
      </c>
      <c r="F24" s="1">
        <v>2390.8078665561702</v>
      </c>
      <c r="G24" t="s">
        <v>38</v>
      </c>
      <c r="H24">
        <v>71</v>
      </c>
      <c r="I24">
        <v>1</v>
      </c>
      <c r="J24">
        <v>63</v>
      </c>
      <c r="K24">
        <v>10</v>
      </c>
      <c r="L24" t="s">
        <v>36</v>
      </c>
      <c r="M24">
        <v>9.5676489209230393</v>
      </c>
      <c r="N24" t="s">
        <v>52</v>
      </c>
      <c r="O24" t="s">
        <v>45</v>
      </c>
      <c r="P24">
        <v>22</v>
      </c>
      <c r="Q24">
        <v>780</v>
      </c>
      <c r="R24">
        <v>28</v>
      </c>
      <c r="S24">
        <v>50.120839612977299</v>
      </c>
      <c r="T24" t="s">
        <v>46</v>
      </c>
      <c r="U24">
        <v>2.5912754732111098</v>
      </c>
      <c r="V24" t="s">
        <v>47</v>
      </c>
      <c r="W24" t="s">
        <v>41</v>
      </c>
      <c r="X24">
        <v>205.57199582694699</v>
      </c>
      <c r="Y24" t="str">
        <f>VLOOKUP(N24,Table2[],3,0)</f>
        <v>Long</v>
      </c>
      <c r="Z24">
        <f>_xlfn.XLOOKUP(N24,Table2[Supplier name],Table2[Reliability score],"not found")</f>
        <v>5</v>
      </c>
      <c r="AA24">
        <f t="shared" si="0"/>
        <v>2.7791935115711599</v>
      </c>
      <c r="AB24">
        <f t="shared" si="1"/>
        <v>2.7791935115711599</v>
      </c>
    </row>
    <row r="25" spans="1:28">
      <c r="A25" t="s">
        <v>57</v>
      </c>
      <c r="B25" t="s">
        <v>77</v>
      </c>
      <c r="C25" s="1">
        <v>4.3243411858641601</v>
      </c>
      <c r="D25">
        <v>30</v>
      </c>
      <c r="E25">
        <v>391</v>
      </c>
      <c r="F25" s="1">
        <v>8858.3675710114803</v>
      </c>
      <c r="G25" t="s">
        <v>38</v>
      </c>
      <c r="H25">
        <v>84</v>
      </c>
      <c r="I25">
        <v>5</v>
      </c>
      <c r="J25">
        <v>29</v>
      </c>
      <c r="K25">
        <v>7</v>
      </c>
      <c r="L25" t="s">
        <v>36</v>
      </c>
      <c r="M25">
        <v>2.92485760114555</v>
      </c>
      <c r="N25" t="s">
        <v>44</v>
      </c>
      <c r="O25" t="s">
        <v>45</v>
      </c>
      <c r="P25">
        <v>11</v>
      </c>
      <c r="Q25">
        <v>568</v>
      </c>
      <c r="R25">
        <v>29</v>
      </c>
      <c r="S25">
        <v>98.6099572427038</v>
      </c>
      <c r="T25" t="s">
        <v>30</v>
      </c>
      <c r="U25">
        <v>1.3422915627227301</v>
      </c>
      <c r="V25" t="s">
        <v>47</v>
      </c>
      <c r="W25" t="s">
        <v>48</v>
      </c>
      <c r="X25">
        <v>196.329446112412</v>
      </c>
      <c r="Y25" t="str">
        <f>VLOOKUP(N25,Table2[],3,0)</f>
        <v>Medium</v>
      </c>
      <c r="Z25">
        <f>_xlfn.XLOOKUP(N25,Table2[Supplier name],Table2[Reliability score],"not found")</f>
        <v>7</v>
      </c>
      <c r="AA25">
        <f t="shared" si="0"/>
        <v>4.7466486206477496</v>
      </c>
      <c r="AB25">
        <f t="shared" si="1"/>
        <v>4.7466486206477496</v>
      </c>
    </row>
    <row r="26" spans="1:28">
      <c r="A26" t="s">
        <v>24</v>
      </c>
      <c r="B26" t="s">
        <v>78</v>
      </c>
      <c r="C26" s="1">
        <v>4.1563083593111001</v>
      </c>
      <c r="D26">
        <v>32</v>
      </c>
      <c r="E26">
        <v>209</v>
      </c>
      <c r="F26" s="1">
        <v>9049.0778609398894</v>
      </c>
      <c r="G26" t="s">
        <v>55</v>
      </c>
      <c r="H26">
        <v>4</v>
      </c>
      <c r="I26">
        <v>26</v>
      </c>
      <c r="J26">
        <v>2</v>
      </c>
      <c r="K26">
        <v>8</v>
      </c>
      <c r="L26" t="s">
        <v>43</v>
      </c>
      <c r="M26">
        <v>9.7412916892843597</v>
      </c>
      <c r="N26" t="s">
        <v>61</v>
      </c>
      <c r="O26" t="s">
        <v>53</v>
      </c>
      <c r="P26">
        <v>28</v>
      </c>
      <c r="Q26">
        <v>447</v>
      </c>
      <c r="R26">
        <v>3</v>
      </c>
      <c r="S26">
        <v>40.382359702924802</v>
      </c>
      <c r="T26" t="s">
        <v>30</v>
      </c>
      <c r="U26">
        <v>3.69131029262872</v>
      </c>
      <c r="V26" t="s">
        <v>40</v>
      </c>
      <c r="W26" t="s">
        <v>48</v>
      </c>
      <c r="X26">
        <v>758.72477260293795</v>
      </c>
      <c r="Y26" t="str">
        <f>VLOOKUP(N26,Table2[],3,0)</f>
        <v>Medium</v>
      </c>
      <c r="Z26">
        <f>_xlfn.XLOOKUP(N26,Table2[Supplier name],Table2[Reliability score],"not found")</f>
        <v>6</v>
      </c>
      <c r="AA26">
        <f t="shared" si="0"/>
        <v>3.8446144787675798</v>
      </c>
      <c r="AB26">
        <f t="shared" si="1"/>
        <v>3.8446144787675798</v>
      </c>
    </row>
    <row r="27" spans="1:28">
      <c r="A27" t="s">
        <v>24</v>
      </c>
      <c r="B27" t="s">
        <v>79</v>
      </c>
      <c r="C27" s="1">
        <v>39.629343985092603</v>
      </c>
      <c r="D27">
        <v>73</v>
      </c>
      <c r="E27">
        <v>142</v>
      </c>
      <c r="F27" s="1">
        <v>2174.7770543506499</v>
      </c>
      <c r="G27" t="s">
        <v>55</v>
      </c>
      <c r="H27">
        <v>82</v>
      </c>
      <c r="I27">
        <v>11</v>
      </c>
      <c r="J27">
        <v>52</v>
      </c>
      <c r="K27">
        <v>3</v>
      </c>
      <c r="L27" t="s">
        <v>43</v>
      </c>
      <c r="M27">
        <v>2.2310736812817198</v>
      </c>
      <c r="N27" t="s">
        <v>52</v>
      </c>
      <c r="O27" t="s">
        <v>45</v>
      </c>
      <c r="P27">
        <v>19</v>
      </c>
      <c r="Q27">
        <v>934</v>
      </c>
      <c r="R27">
        <v>23</v>
      </c>
      <c r="S27">
        <v>78.280383118415301</v>
      </c>
      <c r="T27" t="s">
        <v>30</v>
      </c>
      <c r="U27">
        <v>3.79723121711418</v>
      </c>
      <c r="V27" t="s">
        <v>31</v>
      </c>
      <c r="W27" t="s">
        <v>32</v>
      </c>
      <c r="X27">
        <v>458.53594573920901</v>
      </c>
      <c r="Y27" t="str">
        <f>VLOOKUP(N27,Table2[],3,0)</f>
        <v>Long</v>
      </c>
      <c r="Z27">
        <f>_xlfn.XLOOKUP(N27,Table2[Supplier name],Table2[Reliability score],"not found")</f>
        <v>5</v>
      </c>
      <c r="AA27">
        <f t="shared" si="0"/>
        <v>2.7791935115711599</v>
      </c>
      <c r="AB27">
        <f t="shared" si="1"/>
        <v>2.7791935115711599</v>
      </c>
    </row>
    <row r="28" spans="1:28">
      <c r="A28" t="s">
        <v>24</v>
      </c>
      <c r="B28" t="s">
        <v>80</v>
      </c>
      <c r="C28" s="1">
        <v>97.446946617892806</v>
      </c>
      <c r="D28">
        <v>9</v>
      </c>
      <c r="E28">
        <v>353</v>
      </c>
      <c r="F28" s="1">
        <v>3716.49332589403</v>
      </c>
      <c r="G28" t="s">
        <v>55</v>
      </c>
      <c r="H28">
        <v>59</v>
      </c>
      <c r="I28">
        <v>16</v>
      </c>
      <c r="J28">
        <v>48</v>
      </c>
      <c r="K28">
        <v>4</v>
      </c>
      <c r="L28" t="s">
        <v>27</v>
      </c>
      <c r="M28">
        <v>6.5075486210785503</v>
      </c>
      <c r="N28" t="s">
        <v>61</v>
      </c>
      <c r="O28" t="s">
        <v>53</v>
      </c>
      <c r="P28">
        <v>26</v>
      </c>
      <c r="Q28">
        <v>171</v>
      </c>
      <c r="R28">
        <v>4</v>
      </c>
      <c r="S28">
        <v>15.972229757181699</v>
      </c>
      <c r="T28" t="s">
        <v>64</v>
      </c>
      <c r="U28">
        <v>2.1193197367249201</v>
      </c>
      <c r="V28" t="s">
        <v>47</v>
      </c>
      <c r="W28" t="s">
        <v>48</v>
      </c>
      <c r="X28">
        <v>617.86691645837698</v>
      </c>
      <c r="Y28" t="str">
        <f>VLOOKUP(N28,Table2[],3,0)</f>
        <v>Medium</v>
      </c>
      <c r="Z28">
        <f>_xlfn.XLOOKUP(N28,Table2[Supplier name],Table2[Reliability score],"not found")</f>
        <v>6</v>
      </c>
      <c r="AA28">
        <f t="shared" si="0"/>
        <v>3.8446144787675798</v>
      </c>
      <c r="AB28">
        <f t="shared" si="1"/>
        <v>3.8446144787675798</v>
      </c>
    </row>
    <row r="29" spans="1:28">
      <c r="A29" t="s">
        <v>57</v>
      </c>
      <c r="B29" t="s">
        <v>81</v>
      </c>
      <c r="C29" s="1">
        <v>92.557360812401996</v>
      </c>
      <c r="D29">
        <v>42</v>
      </c>
      <c r="E29">
        <v>352</v>
      </c>
      <c r="F29" s="1">
        <v>2686.4572235759802</v>
      </c>
      <c r="G29" t="s">
        <v>38</v>
      </c>
      <c r="H29">
        <v>47</v>
      </c>
      <c r="I29">
        <v>9</v>
      </c>
      <c r="J29">
        <v>62</v>
      </c>
      <c r="K29">
        <v>8</v>
      </c>
      <c r="L29" t="s">
        <v>43</v>
      </c>
      <c r="M29">
        <v>7.4067509529980704</v>
      </c>
      <c r="N29" t="s">
        <v>44</v>
      </c>
      <c r="O29" t="s">
        <v>29</v>
      </c>
      <c r="P29">
        <v>25</v>
      </c>
      <c r="Q29">
        <v>291</v>
      </c>
      <c r="R29">
        <v>4</v>
      </c>
      <c r="S29">
        <v>10.5282450700421</v>
      </c>
      <c r="T29" t="s">
        <v>46</v>
      </c>
      <c r="U29">
        <v>2.8646678378833701</v>
      </c>
      <c r="V29" t="s">
        <v>56</v>
      </c>
      <c r="W29" t="s">
        <v>32</v>
      </c>
      <c r="X29">
        <v>762.45918215568304</v>
      </c>
      <c r="Y29" t="str">
        <f>VLOOKUP(N29,Table2[],3,0)</f>
        <v>Medium</v>
      </c>
      <c r="Z29">
        <f>_xlfn.XLOOKUP(N29,Table2[Supplier name],Table2[Reliability score],"not found")</f>
        <v>7</v>
      </c>
      <c r="AA29">
        <f t="shared" si="0"/>
        <v>4.7466486206477496</v>
      </c>
      <c r="AB29">
        <f t="shared" si="1"/>
        <v>4.7466486206477496</v>
      </c>
    </row>
    <row r="30" spans="1:28">
      <c r="A30" t="s">
        <v>57</v>
      </c>
      <c r="B30" t="s">
        <v>82</v>
      </c>
      <c r="C30" s="1">
        <v>2.3972747055971402</v>
      </c>
      <c r="D30">
        <v>12</v>
      </c>
      <c r="E30">
        <v>394</v>
      </c>
      <c r="F30" s="1">
        <v>6117.3246150839896</v>
      </c>
      <c r="G30" t="s">
        <v>35</v>
      </c>
      <c r="H30">
        <v>48</v>
      </c>
      <c r="I30">
        <v>15</v>
      </c>
      <c r="J30">
        <v>24</v>
      </c>
      <c r="K30">
        <v>4</v>
      </c>
      <c r="L30" t="s">
        <v>27</v>
      </c>
      <c r="M30">
        <v>9.8981405080692202</v>
      </c>
      <c r="N30" t="s">
        <v>39</v>
      </c>
      <c r="O30" t="s">
        <v>29</v>
      </c>
      <c r="P30">
        <v>13</v>
      </c>
      <c r="Q30">
        <v>171</v>
      </c>
      <c r="R30">
        <v>7</v>
      </c>
      <c r="S30">
        <v>59.429381810691503</v>
      </c>
      <c r="T30" t="s">
        <v>46</v>
      </c>
      <c r="U30">
        <v>0.81575707929567198</v>
      </c>
      <c r="V30" t="s">
        <v>40</v>
      </c>
      <c r="W30" t="s">
        <v>48</v>
      </c>
      <c r="X30">
        <v>123.437027511827</v>
      </c>
      <c r="Y30" t="str">
        <f>VLOOKUP(N30,Table2[],3,0)</f>
        <v>Short</v>
      </c>
      <c r="Z30">
        <f>_xlfn.XLOOKUP(N30,Table2[Supplier name],Table2[Reliability score],"not found")</f>
        <v>8</v>
      </c>
      <c r="AA30">
        <f t="shared" si="0"/>
        <v>4.5805926191992201</v>
      </c>
      <c r="AB30">
        <f t="shared" si="1"/>
        <v>4.5805926191992201</v>
      </c>
    </row>
    <row r="31" spans="1:28">
      <c r="A31" t="s">
        <v>57</v>
      </c>
      <c r="B31" t="s">
        <v>83</v>
      </c>
      <c r="C31" s="1">
        <v>63.447559185207297</v>
      </c>
      <c r="D31">
        <v>3</v>
      </c>
      <c r="E31">
        <v>253</v>
      </c>
      <c r="F31" s="1">
        <v>8318.9031946171708</v>
      </c>
      <c r="G31" t="s">
        <v>35</v>
      </c>
      <c r="H31">
        <v>45</v>
      </c>
      <c r="I31">
        <v>5</v>
      </c>
      <c r="J31">
        <v>67</v>
      </c>
      <c r="K31">
        <v>7</v>
      </c>
      <c r="L31" t="s">
        <v>27</v>
      </c>
      <c r="M31">
        <v>8.1009731453970293</v>
      </c>
      <c r="N31" t="s">
        <v>39</v>
      </c>
      <c r="O31" t="s">
        <v>45</v>
      </c>
      <c r="P31">
        <v>16</v>
      </c>
      <c r="Q31">
        <v>329</v>
      </c>
      <c r="R31">
        <v>7</v>
      </c>
      <c r="S31">
        <v>39.292875586065698</v>
      </c>
      <c r="T31" t="s">
        <v>64</v>
      </c>
      <c r="U31">
        <v>3.8780989365884802</v>
      </c>
      <c r="V31" t="s">
        <v>31</v>
      </c>
      <c r="W31" t="s">
        <v>32</v>
      </c>
      <c r="X31">
        <v>764.93537594070801</v>
      </c>
      <c r="Y31" t="str">
        <f>VLOOKUP(N31,Table2[],3,0)</f>
        <v>Short</v>
      </c>
      <c r="Z31">
        <f>_xlfn.XLOOKUP(N31,Table2[Supplier name],Table2[Reliability score],"not found")</f>
        <v>8</v>
      </c>
      <c r="AA31">
        <f t="shared" si="0"/>
        <v>4.5805926191992201</v>
      </c>
      <c r="AB31">
        <f t="shared" si="1"/>
        <v>4.5805926191992201</v>
      </c>
    </row>
    <row r="32" spans="1:28">
      <c r="A32" t="s">
        <v>24</v>
      </c>
      <c r="B32" t="s">
        <v>84</v>
      </c>
      <c r="C32" s="1">
        <v>8.0228592105263896</v>
      </c>
      <c r="D32">
        <v>10</v>
      </c>
      <c r="E32">
        <v>327</v>
      </c>
      <c r="F32" s="1">
        <v>2766.3423668660798</v>
      </c>
      <c r="G32" t="s">
        <v>55</v>
      </c>
      <c r="H32">
        <v>60</v>
      </c>
      <c r="I32">
        <v>26</v>
      </c>
      <c r="J32">
        <v>35</v>
      </c>
      <c r="K32">
        <v>7</v>
      </c>
      <c r="L32" t="s">
        <v>27</v>
      </c>
      <c r="M32">
        <v>8.9545283153180097</v>
      </c>
      <c r="N32" t="s">
        <v>52</v>
      </c>
      <c r="O32" t="s">
        <v>45</v>
      </c>
      <c r="P32">
        <v>27</v>
      </c>
      <c r="Q32">
        <v>806</v>
      </c>
      <c r="R32">
        <v>30</v>
      </c>
      <c r="S32">
        <v>51.634893400109299</v>
      </c>
      <c r="T32" t="s">
        <v>30</v>
      </c>
      <c r="U32">
        <v>0.96539470535239302</v>
      </c>
      <c r="V32" t="s">
        <v>31</v>
      </c>
      <c r="W32" t="s">
        <v>41</v>
      </c>
      <c r="X32">
        <v>880.08098824716103</v>
      </c>
      <c r="Y32" t="str">
        <f>VLOOKUP(N32,Table2[],3,0)</f>
        <v>Long</v>
      </c>
      <c r="Z32">
        <f>_xlfn.XLOOKUP(N32,Table2[Supplier name],Table2[Reliability score],"not found")</f>
        <v>5</v>
      </c>
      <c r="AA32">
        <f t="shared" si="0"/>
        <v>2.7791935115711599</v>
      </c>
      <c r="AB32">
        <f t="shared" si="1"/>
        <v>2.7791935115711599</v>
      </c>
    </row>
    <row r="33" spans="1:28">
      <c r="A33" t="s">
        <v>33</v>
      </c>
      <c r="B33" t="s">
        <v>85</v>
      </c>
      <c r="C33" s="1">
        <v>50.847393051718697</v>
      </c>
      <c r="D33">
        <v>28</v>
      </c>
      <c r="E33">
        <v>168</v>
      </c>
      <c r="F33" s="1">
        <v>9655.1351027193905</v>
      </c>
      <c r="G33" t="s">
        <v>55</v>
      </c>
      <c r="H33">
        <v>6</v>
      </c>
      <c r="I33">
        <v>17</v>
      </c>
      <c r="J33">
        <v>44</v>
      </c>
      <c r="K33">
        <v>4</v>
      </c>
      <c r="L33" t="s">
        <v>27</v>
      </c>
      <c r="M33">
        <v>2.6796609649813998</v>
      </c>
      <c r="N33" t="s">
        <v>28</v>
      </c>
      <c r="O33" t="s">
        <v>62</v>
      </c>
      <c r="P33">
        <v>24</v>
      </c>
      <c r="Q33">
        <v>461</v>
      </c>
      <c r="R33">
        <v>8</v>
      </c>
      <c r="S33">
        <v>60.251145661598002</v>
      </c>
      <c r="T33" t="s">
        <v>30</v>
      </c>
      <c r="U33">
        <v>2.9890000066550702</v>
      </c>
      <c r="V33" t="s">
        <v>47</v>
      </c>
      <c r="W33" t="s">
        <v>41</v>
      </c>
      <c r="X33">
        <v>609.379206618426</v>
      </c>
      <c r="Y33" t="str">
        <f>VLOOKUP(N33,Table2[],3,0)</f>
        <v>Short</v>
      </c>
      <c r="Z33">
        <f>_xlfn.XLOOKUP(N33,Table2[Supplier name],Table2[Reliability score],"not found")</f>
        <v>9</v>
      </c>
      <c r="AA33">
        <f t="shared" si="0"/>
        <v>0.226410360849925</v>
      </c>
      <c r="AB33">
        <f t="shared" si="1"/>
        <v>0.226410360849925</v>
      </c>
    </row>
    <row r="34" spans="1:28">
      <c r="A34" t="s">
        <v>33</v>
      </c>
      <c r="B34" t="s">
        <v>86</v>
      </c>
      <c r="C34" s="1">
        <v>79.209936015656695</v>
      </c>
      <c r="D34">
        <v>43</v>
      </c>
      <c r="E34">
        <v>781</v>
      </c>
      <c r="F34" s="1">
        <v>9571.5504873278096</v>
      </c>
      <c r="G34" t="s">
        <v>38</v>
      </c>
      <c r="H34">
        <v>89</v>
      </c>
      <c r="I34">
        <v>13</v>
      </c>
      <c r="J34">
        <v>64</v>
      </c>
      <c r="K34">
        <v>4</v>
      </c>
      <c r="L34" t="s">
        <v>43</v>
      </c>
      <c r="M34">
        <v>6.5991049012385803</v>
      </c>
      <c r="N34" t="s">
        <v>28</v>
      </c>
      <c r="O34" t="s">
        <v>45</v>
      </c>
      <c r="P34">
        <v>30</v>
      </c>
      <c r="Q34">
        <v>737</v>
      </c>
      <c r="R34">
        <v>7</v>
      </c>
      <c r="S34">
        <v>29.6924671537497</v>
      </c>
      <c r="T34" t="s">
        <v>64</v>
      </c>
      <c r="U34">
        <v>1.94603611938611</v>
      </c>
      <c r="V34" t="s">
        <v>31</v>
      </c>
      <c r="W34" t="s">
        <v>48</v>
      </c>
      <c r="X34">
        <v>761.17390951487698</v>
      </c>
      <c r="Y34" t="str">
        <f>VLOOKUP(N34,Table2[],3,0)</f>
        <v>Short</v>
      </c>
      <c r="Z34">
        <f>_xlfn.XLOOKUP(N34,Table2[Supplier name],Table2[Reliability score],"not found")</f>
        <v>9</v>
      </c>
      <c r="AA34">
        <f t="shared" si="0"/>
        <v>0.226410360849925</v>
      </c>
      <c r="AB34">
        <f t="shared" si="1"/>
        <v>0.226410360849925</v>
      </c>
    </row>
    <row r="35" spans="1:28">
      <c r="A35" t="s">
        <v>57</v>
      </c>
      <c r="B35" t="s">
        <v>87</v>
      </c>
      <c r="C35" s="1">
        <v>64.795435000155607</v>
      </c>
      <c r="D35">
        <v>63</v>
      </c>
      <c r="E35">
        <v>616</v>
      </c>
      <c r="F35" s="1">
        <v>5149.9983504080301</v>
      </c>
      <c r="G35" t="s">
        <v>26</v>
      </c>
      <c r="H35">
        <v>4</v>
      </c>
      <c r="I35">
        <v>17</v>
      </c>
      <c r="J35">
        <v>95</v>
      </c>
      <c r="K35">
        <v>9</v>
      </c>
      <c r="L35" t="s">
        <v>43</v>
      </c>
      <c r="M35">
        <v>4.85827050343664</v>
      </c>
      <c r="N35" t="s">
        <v>44</v>
      </c>
      <c r="O35" t="s">
        <v>62</v>
      </c>
      <c r="P35">
        <v>1</v>
      </c>
      <c r="Q35">
        <v>251</v>
      </c>
      <c r="R35">
        <v>23</v>
      </c>
      <c r="S35">
        <v>23.853427512896101</v>
      </c>
      <c r="T35" t="s">
        <v>46</v>
      </c>
      <c r="U35">
        <v>3.54104601225092</v>
      </c>
      <c r="V35" t="s">
        <v>56</v>
      </c>
      <c r="W35" t="s">
        <v>48</v>
      </c>
      <c r="X35">
        <v>371.25529551987103</v>
      </c>
      <c r="Y35" t="str">
        <f>VLOOKUP(N35,Table2[],3,0)</f>
        <v>Medium</v>
      </c>
      <c r="Z35">
        <f>_xlfn.XLOOKUP(N35,Table2[Supplier name],Table2[Reliability score],"not found")</f>
        <v>7</v>
      </c>
      <c r="AA35">
        <f t="shared" si="0"/>
        <v>4.7466486206477496</v>
      </c>
      <c r="AB35">
        <f t="shared" si="1"/>
        <v>4.7466486206477496</v>
      </c>
    </row>
    <row r="36" spans="1:28">
      <c r="A36" t="s">
        <v>33</v>
      </c>
      <c r="B36" t="s">
        <v>88</v>
      </c>
      <c r="C36" s="1">
        <v>37.467592329842397</v>
      </c>
      <c r="D36">
        <v>96</v>
      </c>
      <c r="E36">
        <v>602</v>
      </c>
      <c r="F36" s="1">
        <v>9061.7108955077201</v>
      </c>
      <c r="G36" t="s">
        <v>38</v>
      </c>
      <c r="H36">
        <v>1</v>
      </c>
      <c r="I36">
        <v>26</v>
      </c>
      <c r="J36">
        <v>21</v>
      </c>
      <c r="K36">
        <v>7</v>
      </c>
      <c r="L36" t="s">
        <v>36</v>
      </c>
      <c r="M36">
        <v>1.0194875708221101</v>
      </c>
      <c r="N36" t="s">
        <v>39</v>
      </c>
      <c r="O36" t="s">
        <v>62</v>
      </c>
      <c r="P36">
        <v>4</v>
      </c>
      <c r="Q36">
        <v>452</v>
      </c>
      <c r="R36">
        <v>10</v>
      </c>
      <c r="S36">
        <v>10.754272815029299</v>
      </c>
      <c r="T36" t="s">
        <v>64</v>
      </c>
      <c r="U36">
        <v>0.64660455937205397</v>
      </c>
      <c r="V36" t="s">
        <v>31</v>
      </c>
      <c r="W36" t="s">
        <v>32</v>
      </c>
      <c r="X36">
        <v>510.35800043352299</v>
      </c>
      <c r="Y36" t="str">
        <f>VLOOKUP(N36,Table2[],3,0)</f>
        <v>Short</v>
      </c>
      <c r="Z36">
        <f>_xlfn.XLOOKUP(N36,Table2[Supplier name],Table2[Reliability score],"not found")</f>
        <v>8</v>
      </c>
      <c r="AA36">
        <f t="shared" si="0"/>
        <v>4.5805926191992201</v>
      </c>
      <c r="AB36">
        <f t="shared" si="1"/>
        <v>4.5805926191992201</v>
      </c>
    </row>
    <row r="37" spans="1:28">
      <c r="A37" t="s">
        <v>57</v>
      </c>
      <c r="B37" t="s">
        <v>89</v>
      </c>
      <c r="C37" s="1">
        <v>84.957786816350406</v>
      </c>
      <c r="D37">
        <v>11</v>
      </c>
      <c r="E37">
        <v>449</v>
      </c>
      <c r="F37" s="1">
        <v>6541.3293448024597</v>
      </c>
      <c r="G37" t="s">
        <v>35</v>
      </c>
      <c r="H37">
        <v>42</v>
      </c>
      <c r="I37">
        <v>27</v>
      </c>
      <c r="J37">
        <v>85</v>
      </c>
      <c r="K37">
        <v>8</v>
      </c>
      <c r="L37" t="s">
        <v>43</v>
      </c>
      <c r="M37">
        <v>5.2881899903273997</v>
      </c>
      <c r="N37" t="s">
        <v>39</v>
      </c>
      <c r="O37" t="s">
        <v>50</v>
      </c>
      <c r="P37">
        <v>3</v>
      </c>
      <c r="Q37">
        <v>367</v>
      </c>
      <c r="R37">
        <v>2</v>
      </c>
      <c r="S37">
        <v>58.004787044743701</v>
      </c>
      <c r="T37" t="s">
        <v>64</v>
      </c>
      <c r="U37">
        <v>0.54115409806058101</v>
      </c>
      <c r="V37" t="s">
        <v>56</v>
      </c>
      <c r="W37" t="s">
        <v>41</v>
      </c>
      <c r="X37">
        <v>553.42047123035502</v>
      </c>
      <c r="Y37" t="str">
        <f>VLOOKUP(N37,Table2[],3,0)</f>
        <v>Short</v>
      </c>
      <c r="Z37">
        <f>_xlfn.XLOOKUP(N37,Table2[Supplier name],Table2[Reliability score],"not found")</f>
        <v>8</v>
      </c>
      <c r="AA37">
        <f t="shared" si="0"/>
        <v>4.5805926191992201</v>
      </c>
      <c r="AB37">
        <f t="shared" si="1"/>
        <v>4.5805926191992201</v>
      </c>
    </row>
    <row r="38" spans="1:28">
      <c r="A38" t="s">
        <v>33</v>
      </c>
      <c r="B38" t="s">
        <v>90</v>
      </c>
      <c r="C38" s="1">
        <v>9.81300257875405</v>
      </c>
      <c r="D38">
        <v>34</v>
      </c>
      <c r="E38">
        <v>963</v>
      </c>
      <c r="F38" s="1">
        <v>7573.4024578487297</v>
      </c>
      <c r="G38" t="s">
        <v>35</v>
      </c>
      <c r="H38">
        <v>18</v>
      </c>
      <c r="I38">
        <v>23</v>
      </c>
      <c r="J38">
        <v>28</v>
      </c>
      <c r="K38">
        <v>3</v>
      </c>
      <c r="L38" t="s">
        <v>27</v>
      </c>
      <c r="M38">
        <v>2.1079512671590801</v>
      </c>
      <c r="N38" t="s">
        <v>61</v>
      </c>
      <c r="O38" t="s">
        <v>50</v>
      </c>
      <c r="P38">
        <v>26</v>
      </c>
      <c r="Q38">
        <v>671</v>
      </c>
      <c r="R38">
        <v>19</v>
      </c>
      <c r="S38">
        <v>45.531364237162101</v>
      </c>
      <c r="T38" t="s">
        <v>46</v>
      </c>
      <c r="U38">
        <v>3.8055333792433501</v>
      </c>
      <c r="V38" t="s">
        <v>40</v>
      </c>
      <c r="W38" t="s">
        <v>41</v>
      </c>
      <c r="X38">
        <v>403.80897424817999</v>
      </c>
      <c r="Y38" t="str">
        <f>VLOOKUP(N38,Table2[],3,0)</f>
        <v>Medium</v>
      </c>
      <c r="Z38">
        <f>_xlfn.XLOOKUP(N38,Table2[Supplier name],Table2[Reliability score],"not found")</f>
        <v>6</v>
      </c>
      <c r="AA38">
        <f t="shared" si="0"/>
        <v>3.8446144787675798</v>
      </c>
      <c r="AB38">
        <f t="shared" si="1"/>
        <v>3.8446144787675798</v>
      </c>
    </row>
    <row r="39" spans="1:28">
      <c r="A39" t="s">
        <v>33</v>
      </c>
      <c r="B39" t="s">
        <v>91</v>
      </c>
      <c r="C39" s="1">
        <v>23.3998447526143</v>
      </c>
      <c r="D39">
        <v>5</v>
      </c>
      <c r="E39">
        <v>963</v>
      </c>
      <c r="F39" s="1">
        <v>2438.3399304700201</v>
      </c>
      <c r="G39" t="s">
        <v>35</v>
      </c>
      <c r="H39">
        <v>25</v>
      </c>
      <c r="I39">
        <v>8</v>
      </c>
      <c r="J39">
        <v>21</v>
      </c>
      <c r="K39">
        <v>9</v>
      </c>
      <c r="L39" t="s">
        <v>36</v>
      </c>
      <c r="M39">
        <v>1.53265527359043</v>
      </c>
      <c r="N39" t="s">
        <v>28</v>
      </c>
      <c r="O39" t="s">
        <v>45</v>
      </c>
      <c r="P39">
        <v>24</v>
      </c>
      <c r="Q39">
        <v>867</v>
      </c>
      <c r="R39">
        <v>15</v>
      </c>
      <c r="S39">
        <v>34.343277465075303</v>
      </c>
      <c r="T39" t="s">
        <v>30</v>
      </c>
      <c r="U39">
        <v>2.61028808484811</v>
      </c>
      <c r="V39" t="s">
        <v>56</v>
      </c>
      <c r="W39" t="s">
        <v>48</v>
      </c>
      <c r="X39">
        <v>183.932968043594</v>
      </c>
      <c r="Y39" t="str">
        <f>VLOOKUP(N39,Table2[],3,0)</f>
        <v>Short</v>
      </c>
      <c r="Z39">
        <f>_xlfn.XLOOKUP(N39,Table2[Supplier name],Table2[Reliability score],"not found")</f>
        <v>9</v>
      </c>
      <c r="AA39">
        <f t="shared" si="0"/>
        <v>0.226410360849925</v>
      </c>
      <c r="AB39">
        <f t="shared" si="1"/>
        <v>0.226410360849925</v>
      </c>
    </row>
    <row r="40" spans="1:28">
      <c r="A40" t="s">
        <v>57</v>
      </c>
      <c r="B40" t="s">
        <v>92</v>
      </c>
      <c r="C40" s="1">
        <v>52.075930682707799</v>
      </c>
      <c r="D40">
        <v>75</v>
      </c>
      <c r="E40">
        <v>705</v>
      </c>
      <c r="F40" s="1">
        <v>9692.3180402184298</v>
      </c>
      <c r="G40" t="s">
        <v>26</v>
      </c>
      <c r="H40">
        <v>69</v>
      </c>
      <c r="I40">
        <v>1</v>
      </c>
      <c r="J40">
        <v>88</v>
      </c>
      <c r="K40">
        <v>5</v>
      </c>
      <c r="L40" t="s">
        <v>27</v>
      </c>
      <c r="M40">
        <v>9.2359314372492207</v>
      </c>
      <c r="N40" t="s">
        <v>44</v>
      </c>
      <c r="O40" t="s">
        <v>29</v>
      </c>
      <c r="P40">
        <v>10</v>
      </c>
      <c r="Q40">
        <v>841</v>
      </c>
      <c r="R40">
        <v>12</v>
      </c>
      <c r="S40">
        <v>5.9306936455283097</v>
      </c>
      <c r="T40" t="s">
        <v>30</v>
      </c>
      <c r="U40">
        <v>0.613326899164507</v>
      </c>
      <c r="V40" t="s">
        <v>40</v>
      </c>
      <c r="W40" t="s">
        <v>32</v>
      </c>
      <c r="X40">
        <v>339.67286994860598</v>
      </c>
      <c r="Y40" t="str">
        <f>VLOOKUP(N40,Table2[],3,0)</f>
        <v>Medium</v>
      </c>
      <c r="Z40">
        <f>_xlfn.XLOOKUP(N40,Table2[Supplier name],Table2[Reliability score],"not found")</f>
        <v>7</v>
      </c>
      <c r="AA40">
        <f t="shared" si="0"/>
        <v>4.7466486206477496</v>
      </c>
      <c r="AB40">
        <f t="shared" si="1"/>
        <v>4.7466486206477496</v>
      </c>
    </row>
    <row r="41" spans="1:28">
      <c r="A41" t="s">
        <v>33</v>
      </c>
      <c r="B41" t="s">
        <v>93</v>
      </c>
      <c r="C41" s="1">
        <v>19.127477265823199</v>
      </c>
      <c r="D41">
        <v>26</v>
      </c>
      <c r="E41">
        <v>176</v>
      </c>
      <c r="F41" s="1">
        <v>1912.4656631007599</v>
      </c>
      <c r="G41" t="s">
        <v>35</v>
      </c>
      <c r="H41">
        <v>78</v>
      </c>
      <c r="I41">
        <v>29</v>
      </c>
      <c r="J41">
        <v>34</v>
      </c>
      <c r="K41">
        <v>3</v>
      </c>
      <c r="L41" t="s">
        <v>36</v>
      </c>
      <c r="M41">
        <v>5.5625037788303802</v>
      </c>
      <c r="N41" t="s">
        <v>61</v>
      </c>
      <c r="O41" t="s">
        <v>45</v>
      </c>
      <c r="P41">
        <v>30</v>
      </c>
      <c r="Q41">
        <v>791</v>
      </c>
      <c r="R41">
        <v>6</v>
      </c>
      <c r="S41">
        <v>9.0058074287816403</v>
      </c>
      <c r="T41" t="s">
        <v>46</v>
      </c>
      <c r="U41">
        <v>1.4519722039968099</v>
      </c>
      <c r="V41" t="s">
        <v>40</v>
      </c>
      <c r="W41" t="s">
        <v>32</v>
      </c>
      <c r="X41">
        <v>653.67299455203295</v>
      </c>
      <c r="Y41" t="str">
        <f>VLOOKUP(N41,Table2[],3,0)</f>
        <v>Medium</v>
      </c>
      <c r="Z41">
        <f>_xlfn.XLOOKUP(N41,Table2[Supplier name],Table2[Reliability score],"not found")</f>
        <v>6</v>
      </c>
      <c r="AA41">
        <f t="shared" si="0"/>
        <v>3.8446144787675798</v>
      </c>
      <c r="AB41">
        <f t="shared" si="1"/>
        <v>3.8446144787675798</v>
      </c>
    </row>
    <row r="42" spans="1:28">
      <c r="A42" t="s">
        <v>33</v>
      </c>
      <c r="B42" t="s">
        <v>94</v>
      </c>
      <c r="C42" s="1">
        <v>80.541424170940303</v>
      </c>
      <c r="D42">
        <v>97</v>
      </c>
      <c r="E42">
        <v>933</v>
      </c>
      <c r="F42" s="1">
        <v>5724.9593504562599</v>
      </c>
      <c r="G42" t="s">
        <v>35</v>
      </c>
      <c r="H42">
        <v>90</v>
      </c>
      <c r="I42">
        <v>20</v>
      </c>
      <c r="J42">
        <v>39</v>
      </c>
      <c r="K42">
        <v>8</v>
      </c>
      <c r="L42" t="s">
        <v>43</v>
      </c>
      <c r="M42">
        <v>7.2295951397364702</v>
      </c>
      <c r="N42" t="s">
        <v>39</v>
      </c>
      <c r="O42" t="s">
        <v>45</v>
      </c>
      <c r="P42">
        <v>18</v>
      </c>
      <c r="Q42">
        <v>793</v>
      </c>
      <c r="R42">
        <v>1</v>
      </c>
      <c r="S42">
        <v>88.179407104217404</v>
      </c>
      <c r="T42" t="s">
        <v>30</v>
      </c>
      <c r="U42">
        <v>4.2132694305865597</v>
      </c>
      <c r="V42" t="s">
        <v>31</v>
      </c>
      <c r="W42" t="s">
        <v>48</v>
      </c>
      <c r="X42">
        <v>529.80872398069096</v>
      </c>
      <c r="Y42" t="str">
        <f>VLOOKUP(N42,Table2[],3,0)</f>
        <v>Short</v>
      </c>
      <c r="Z42">
        <f>_xlfn.XLOOKUP(N42,Table2[Supplier name],Table2[Reliability score],"not found")</f>
        <v>8</v>
      </c>
      <c r="AA42">
        <f t="shared" si="0"/>
        <v>4.5805926191992201</v>
      </c>
      <c r="AB42">
        <f t="shared" si="1"/>
        <v>4.5805926191992201</v>
      </c>
    </row>
    <row r="43" spans="1:28">
      <c r="A43" t="s">
        <v>33</v>
      </c>
      <c r="B43" t="s">
        <v>95</v>
      </c>
      <c r="C43" s="1">
        <v>99.113291615317095</v>
      </c>
      <c r="D43">
        <v>35</v>
      </c>
      <c r="E43">
        <v>556</v>
      </c>
      <c r="F43" s="1">
        <v>5521.2052590109697</v>
      </c>
      <c r="G43" t="s">
        <v>35</v>
      </c>
      <c r="H43">
        <v>64</v>
      </c>
      <c r="I43">
        <v>19</v>
      </c>
      <c r="J43">
        <v>38</v>
      </c>
      <c r="K43">
        <v>8</v>
      </c>
      <c r="L43" t="s">
        <v>27</v>
      </c>
      <c r="M43">
        <v>5.7732637437666501</v>
      </c>
      <c r="N43" t="s">
        <v>52</v>
      </c>
      <c r="O43" t="s">
        <v>62</v>
      </c>
      <c r="P43">
        <v>18</v>
      </c>
      <c r="Q43">
        <v>892</v>
      </c>
      <c r="R43">
        <v>7</v>
      </c>
      <c r="S43">
        <v>95.332064548772493</v>
      </c>
      <c r="T43" t="s">
        <v>46</v>
      </c>
      <c r="U43">
        <v>4.5302262398259602E-2</v>
      </c>
      <c r="V43" t="s">
        <v>56</v>
      </c>
      <c r="W43" t="s">
        <v>48</v>
      </c>
      <c r="X43">
        <v>275.52437113130901</v>
      </c>
      <c r="Y43" t="str">
        <f>VLOOKUP(N43,Table2[],3,0)</f>
        <v>Long</v>
      </c>
      <c r="Z43">
        <f>_xlfn.XLOOKUP(N43,Table2[Supplier name],Table2[Reliability score],"not found")</f>
        <v>5</v>
      </c>
      <c r="AA43">
        <f t="shared" si="0"/>
        <v>2.7791935115711599</v>
      </c>
      <c r="AB43">
        <f t="shared" si="1"/>
        <v>2.7791935115711599</v>
      </c>
    </row>
    <row r="44" spans="1:28">
      <c r="A44" t="s">
        <v>33</v>
      </c>
      <c r="B44" t="s">
        <v>96</v>
      </c>
      <c r="C44" s="1">
        <v>46.529167614516702</v>
      </c>
      <c r="D44">
        <v>98</v>
      </c>
      <c r="E44">
        <v>155</v>
      </c>
      <c r="F44" s="1">
        <v>1839.60942585676</v>
      </c>
      <c r="G44" t="s">
        <v>35</v>
      </c>
      <c r="H44">
        <v>22</v>
      </c>
      <c r="I44">
        <v>27</v>
      </c>
      <c r="J44">
        <v>57</v>
      </c>
      <c r="K44">
        <v>4</v>
      </c>
      <c r="L44" t="s">
        <v>43</v>
      </c>
      <c r="M44">
        <v>7.5262483268515004</v>
      </c>
      <c r="N44" t="s">
        <v>44</v>
      </c>
      <c r="O44" t="s">
        <v>53</v>
      </c>
      <c r="P44">
        <v>26</v>
      </c>
      <c r="Q44">
        <v>179</v>
      </c>
      <c r="R44">
        <v>7</v>
      </c>
      <c r="S44">
        <v>96.422820639571796</v>
      </c>
      <c r="T44" t="s">
        <v>46</v>
      </c>
      <c r="U44">
        <v>4.9392552886209398</v>
      </c>
      <c r="V44" t="s">
        <v>31</v>
      </c>
      <c r="W44" t="s">
        <v>48</v>
      </c>
      <c r="X44">
        <v>635.65712050199102</v>
      </c>
      <c r="Y44" t="str">
        <f>VLOOKUP(N44,Table2[],3,0)</f>
        <v>Medium</v>
      </c>
      <c r="Z44">
        <f>_xlfn.XLOOKUP(N44,Table2[Supplier name],Table2[Reliability score],"not found")</f>
        <v>7</v>
      </c>
      <c r="AA44">
        <f t="shared" si="0"/>
        <v>4.7466486206477496</v>
      </c>
      <c r="AB44">
        <f t="shared" si="1"/>
        <v>4.7466486206477496</v>
      </c>
    </row>
    <row r="45" spans="1:28">
      <c r="A45" t="s">
        <v>24</v>
      </c>
      <c r="B45" t="s">
        <v>97</v>
      </c>
      <c r="C45" s="1">
        <v>11.7432717763092</v>
      </c>
      <c r="D45">
        <v>6</v>
      </c>
      <c r="E45">
        <v>598</v>
      </c>
      <c r="F45" s="1">
        <v>5737.4255991190203</v>
      </c>
      <c r="G45" t="s">
        <v>38</v>
      </c>
      <c r="H45">
        <v>36</v>
      </c>
      <c r="I45">
        <v>29</v>
      </c>
      <c r="J45">
        <v>85</v>
      </c>
      <c r="K45">
        <v>9</v>
      </c>
      <c r="L45" t="s">
        <v>27</v>
      </c>
      <c r="M45">
        <v>3.6940212683884499</v>
      </c>
      <c r="N45" t="s">
        <v>44</v>
      </c>
      <c r="O45" t="s">
        <v>29</v>
      </c>
      <c r="P45">
        <v>1</v>
      </c>
      <c r="Q45">
        <v>206</v>
      </c>
      <c r="R45">
        <v>23</v>
      </c>
      <c r="S45">
        <v>26.2773659573324</v>
      </c>
      <c r="T45" t="s">
        <v>30</v>
      </c>
      <c r="U45">
        <v>0.37230476798509698</v>
      </c>
      <c r="V45" t="s">
        <v>40</v>
      </c>
      <c r="W45" t="s">
        <v>48</v>
      </c>
      <c r="X45">
        <v>716.04411975933999</v>
      </c>
      <c r="Y45" t="str">
        <f>VLOOKUP(N45,Table2[],3,0)</f>
        <v>Medium</v>
      </c>
      <c r="Z45">
        <f>_xlfn.XLOOKUP(N45,Table2[Supplier name],Table2[Reliability score],"not found")</f>
        <v>7</v>
      </c>
      <c r="AA45">
        <f t="shared" si="0"/>
        <v>4.7466486206477496</v>
      </c>
      <c r="AB45">
        <f t="shared" si="1"/>
        <v>4.7466486206477496</v>
      </c>
    </row>
    <row r="46" spans="1:28">
      <c r="A46" t="s">
        <v>57</v>
      </c>
      <c r="B46" t="s">
        <v>98</v>
      </c>
      <c r="C46" s="1">
        <v>51.355790913110297</v>
      </c>
      <c r="D46">
        <v>34</v>
      </c>
      <c r="E46">
        <v>919</v>
      </c>
      <c r="F46" s="1">
        <v>7152.28604943551</v>
      </c>
      <c r="G46" t="s">
        <v>35</v>
      </c>
      <c r="H46">
        <v>13</v>
      </c>
      <c r="I46">
        <v>19</v>
      </c>
      <c r="J46">
        <v>72</v>
      </c>
      <c r="K46">
        <v>6</v>
      </c>
      <c r="L46" t="s">
        <v>43</v>
      </c>
      <c r="M46">
        <v>7.5774496573766896</v>
      </c>
      <c r="N46" t="s">
        <v>61</v>
      </c>
      <c r="O46" t="s">
        <v>50</v>
      </c>
      <c r="P46">
        <v>7</v>
      </c>
      <c r="Q46">
        <v>834</v>
      </c>
      <c r="R46">
        <v>18</v>
      </c>
      <c r="S46">
        <v>22.554106620887701</v>
      </c>
      <c r="T46" t="s">
        <v>46</v>
      </c>
      <c r="U46">
        <v>2.9626263204548802</v>
      </c>
      <c r="V46" t="s">
        <v>47</v>
      </c>
      <c r="W46" t="s">
        <v>48</v>
      </c>
      <c r="X46">
        <v>610.45326961922694</v>
      </c>
      <c r="Y46" t="str">
        <f>VLOOKUP(N46,Table2[],3,0)</f>
        <v>Medium</v>
      </c>
      <c r="Z46">
        <f>_xlfn.XLOOKUP(N46,Table2[Supplier name],Table2[Reliability score],"not found")</f>
        <v>6</v>
      </c>
      <c r="AA46">
        <f t="shared" si="0"/>
        <v>3.8446144787675798</v>
      </c>
      <c r="AB46">
        <f t="shared" si="1"/>
        <v>3.8446144787675798</v>
      </c>
    </row>
    <row r="47" spans="1:28">
      <c r="A47" t="s">
        <v>24</v>
      </c>
      <c r="B47" t="s">
        <v>99</v>
      </c>
      <c r="C47" s="1">
        <v>33.784138033065503</v>
      </c>
      <c r="D47">
        <v>1</v>
      </c>
      <c r="E47">
        <v>24</v>
      </c>
      <c r="F47" s="1">
        <v>5267.9568075105199</v>
      </c>
      <c r="G47" t="s">
        <v>55</v>
      </c>
      <c r="H47">
        <v>93</v>
      </c>
      <c r="I47">
        <v>7</v>
      </c>
      <c r="J47">
        <v>52</v>
      </c>
      <c r="K47">
        <v>6</v>
      </c>
      <c r="L47" t="s">
        <v>27</v>
      </c>
      <c r="M47">
        <v>5.2151550087119096</v>
      </c>
      <c r="N47" t="s">
        <v>61</v>
      </c>
      <c r="O47" t="s">
        <v>62</v>
      </c>
      <c r="P47">
        <v>25</v>
      </c>
      <c r="Q47">
        <v>794</v>
      </c>
      <c r="R47">
        <v>25</v>
      </c>
      <c r="S47">
        <v>66.312544439991598</v>
      </c>
      <c r="T47" t="s">
        <v>64</v>
      </c>
      <c r="U47">
        <v>3.2196046120841002</v>
      </c>
      <c r="V47" t="s">
        <v>47</v>
      </c>
      <c r="W47" t="s">
        <v>48</v>
      </c>
      <c r="X47">
        <v>495.30569702847299</v>
      </c>
      <c r="Y47" t="str">
        <f>VLOOKUP(N47,Table2[],3,0)</f>
        <v>Medium</v>
      </c>
      <c r="Z47">
        <f>_xlfn.XLOOKUP(N47,Table2[Supplier name],Table2[Reliability score],"not found")</f>
        <v>6</v>
      </c>
      <c r="AA47">
        <f t="shared" si="0"/>
        <v>3.8446144787675798</v>
      </c>
      <c r="AB47">
        <f t="shared" si="1"/>
        <v>3.8446144787675798</v>
      </c>
    </row>
    <row r="48" spans="1:28">
      <c r="A48" t="s">
        <v>24</v>
      </c>
      <c r="B48" t="s">
        <v>100</v>
      </c>
      <c r="C48" s="1">
        <v>27.082207199888899</v>
      </c>
      <c r="D48">
        <v>75</v>
      </c>
      <c r="E48">
        <v>859</v>
      </c>
      <c r="F48" s="1">
        <v>2556.7673606335902</v>
      </c>
      <c r="G48" t="s">
        <v>26</v>
      </c>
      <c r="H48">
        <v>92</v>
      </c>
      <c r="I48">
        <v>29</v>
      </c>
      <c r="J48">
        <v>6</v>
      </c>
      <c r="K48">
        <v>8</v>
      </c>
      <c r="L48" t="s">
        <v>27</v>
      </c>
      <c r="M48">
        <v>4.0709558370840799</v>
      </c>
      <c r="N48" t="s">
        <v>28</v>
      </c>
      <c r="O48" t="s">
        <v>62</v>
      </c>
      <c r="P48">
        <v>18</v>
      </c>
      <c r="Q48">
        <v>870</v>
      </c>
      <c r="R48">
        <v>23</v>
      </c>
      <c r="S48">
        <v>77.322353211051606</v>
      </c>
      <c r="T48" t="s">
        <v>30</v>
      </c>
      <c r="U48">
        <v>3.6486105925361998</v>
      </c>
      <c r="V48" t="s">
        <v>31</v>
      </c>
      <c r="W48" t="s">
        <v>32</v>
      </c>
      <c r="X48">
        <v>380.43593711196399</v>
      </c>
      <c r="Y48" t="str">
        <f>VLOOKUP(N48,Table2[],3,0)</f>
        <v>Short</v>
      </c>
      <c r="Z48">
        <f>_xlfn.XLOOKUP(N48,Table2[Supplier name],Table2[Reliability score],"not found")</f>
        <v>9</v>
      </c>
      <c r="AA48">
        <f t="shared" si="0"/>
        <v>0.226410360849925</v>
      </c>
      <c r="AB48">
        <f t="shared" si="1"/>
        <v>0.226410360849925</v>
      </c>
    </row>
    <row r="49" spans="1:28">
      <c r="A49" t="s">
        <v>33</v>
      </c>
      <c r="B49" t="s">
        <v>101</v>
      </c>
      <c r="C49" s="1">
        <v>95.712135880936003</v>
      </c>
      <c r="D49">
        <v>93</v>
      </c>
      <c r="E49">
        <v>910</v>
      </c>
      <c r="F49" s="1">
        <v>7089.4742499341801</v>
      </c>
      <c r="G49" t="s">
        <v>55</v>
      </c>
      <c r="H49">
        <v>4</v>
      </c>
      <c r="I49">
        <v>15</v>
      </c>
      <c r="J49">
        <v>51</v>
      </c>
      <c r="K49">
        <v>9</v>
      </c>
      <c r="L49" t="s">
        <v>27</v>
      </c>
      <c r="M49">
        <v>8.9787507559499709</v>
      </c>
      <c r="N49" t="s">
        <v>39</v>
      </c>
      <c r="O49" t="s">
        <v>45</v>
      </c>
      <c r="P49">
        <v>10</v>
      </c>
      <c r="Q49">
        <v>964</v>
      </c>
      <c r="R49">
        <v>20</v>
      </c>
      <c r="S49">
        <v>19.7129929112936</v>
      </c>
      <c r="T49" t="s">
        <v>30</v>
      </c>
      <c r="U49">
        <v>0.38057358671321301</v>
      </c>
      <c r="V49" t="s">
        <v>47</v>
      </c>
      <c r="W49" t="s">
        <v>48</v>
      </c>
      <c r="X49">
        <v>581.60235505058597</v>
      </c>
      <c r="Y49" t="str">
        <f>VLOOKUP(N49,Table2[],3,0)</f>
        <v>Short</v>
      </c>
      <c r="Z49">
        <f>_xlfn.XLOOKUP(N49,Table2[Supplier name],Table2[Reliability score],"not found")</f>
        <v>8</v>
      </c>
      <c r="AA49">
        <f t="shared" si="0"/>
        <v>4.5805926191992201</v>
      </c>
      <c r="AB49">
        <f t="shared" si="1"/>
        <v>4.5805926191992201</v>
      </c>
    </row>
    <row r="50" spans="1:28">
      <c r="A50" t="s">
        <v>24</v>
      </c>
      <c r="B50" t="s">
        <v>102</v>
      </c>
      <c r="C50" s="1">
        <v>76.035544426891704</v>
      </c>
      <c r="D50">
        <v>28</v>
      </c>
      <c r="E50">
        <v>29</v>
      </c>
      <c r="F50" s="1">
        <v>7397.0710045871801</v>
      </c>
      <c r="G50" t="s">
        <v>26</v>
      </c>
      <c r="H50">
        <v>30</v>
      </c>
      <c r="I50">
        <v>16</v>
      </c>
      <c r="J50">
        <v>9</v>
      </c>
      <c r="K50">
        <v>3</v>
      </c>
      <c r="L50" t="s">
        <v>43</v>
      </c>
      <c r="M50">
        <v>7.0958331565551296</v>
      </c>
      <c r="N50" t="s">
        <v>61</v>
      </c>
      <c r="O50" t="s">
        <v>29</v>
      </c>
      <c r="P50">
        <v>9</v>
      </c>
      <c r="Q50">
        <v>109</v>
      </c>
      <c r="R50">
        <v>18</v>
      </c>
      <c r="S50">
        <v>23.126363582464698</v>
      </c>
      <c r="T50" t="s">
        <v>46</v>
      </c>
      <c r="U50">
        <v>1.6981125407144</v>
      </c>
      <c r="V50" t="s">
        <v>47</v>
      </c>
      <c r="W50" t="s">
        <v>32</v>
      </c>
      <c r="X50">
        <v>768.65191395437</v>
      </c>
      <c r="Y50" t="str">
        <f>VLOOKUP(N50,Table2[],3,0)</f>
        <v>Medium</v>
      </c>
      <c r="Z50">
        <f>_xlfn.XLOOKUP(N50,Table2[Supplier name],Table2[Reliability score],"not found")</f>
        <v>6</v>
      </c>
      <c r="AA50">
        <f t="shared" si="0"/>
        <v>3.8446144787675798</v>
      </c>
      <c r="AB50">
        <f t="shared" si="1"/>
        <v>3.8446144787675798</v>
      </c>
    </row>
    <row r="51" spans="1:28">
      <c r="A51" t="s">
        <v>57</v>
      </c>
      <c r="B51" t="s">
        <v>103</v>
      </c>
      <c r="C51" s="1">
        <v>78.897913205639995</v>
      </c>
      <c r="D51">
        <v>19</v>
      </c>
      <c r="E51">
        <v>99</v>
      </c>
      <c r="F51" s="1">
        <v>8001.6132065190004</v>
      </c>
      <c r="G51" t="s">
        <v>38</v>
      </c>
      <c r="H51">
        <v>97</v>
      </c>
      <c r="I51">
        <v>24</v>
      </c>
      <c r="J51">
        <v>9</v>
      </c>
      <c r="K51">
        <v>6</v>
      </c>
      <c r="L51" t="s">
        <v>43</v>
      </c>
      <c r="M51">
        <v>2.5056210329009101</v>
      </c>
      <c r="N51" t="s">
        <v>44</v>
      </c>
      <c r="O51" t="s">
        <v>50</v>
      </c>
      <c r="P51">
        <v>28</v>
      </c>
      <c r="Q51">
        <v>177</v>
      </c>
      <c r="R51">
        <v>28</v>
      </c>
      <c r="S51">
        <v>14.1478154439792</v>
      </c>
      <c r="T51" t="s">
        <v>64</v>
      </c>
      <c r="U51">
        <v>2.8258139854001301</v>
      </c>
      <c r="V51" t="s">
        <v>47</v>
      </c>
      <c r="W51" t="s">
        <v>48</v>
      </c>
      <c r="X51">
        <v>336.89016851997701</v>
      </c>
      <c r="Y51" t="str">
        <f>VLOOKUP(N51,Table2[],3,0)</f>
        <v>Medium</v>
      </c>
      <c r="Z51">
        <f>_xlfn.XLOOKUP(N51,Table2[Supplier name],Table2[Reliability score],"not found")</f>
        <v>7</v>
      </c>
      <c r="AA51">
        <f t="shared" si="0"/>
        <v>4.7466486206477496</v>
      </c>
      <c r="AB51">
        <f t="shared" si="1"/>
        <v>4.7466486206477496</v>
      </c>
    </row>
    <row r="52" spans="1:28">
      <c r="A52" t="s">
        <v>57</v>
      </c>
      <c r="B52" t="s">
        <v>104</v>
      </c>
      <c r="C52" s="1">
        <v>14.203484264803</v>
      </c>
      <c r="D52">
        <v>91</v>
      </c>
      <c r="E52">
        <v>633</v>
      </c>
      <c r="F52" s="1">
        <v>5910.8853896688897</v>
      </c>
      <c r="G52" t="s">
        <v>35</v>
      </c>
      <c r="H52">
        <v>31</v>
      </c>
      <c r="I52">
        <v>23</v>
      </c>
      <c r="J52">
        <v>82</v>
      </c>
      <c r="K52">
        <v>10</v>
      </c>
      <c r="L52" t="s">
        <v>36</v>
      </c>
      <c r="M52">
        <v>6.2478609149759903</v>
      </c>
      <c r="N52" t="s">
        <v>61</v>
      </c>
      <c r="O52" t="s">
        <v>50</v>
      </c>
      <c r="P52">
        <v>20</v>
      </c>
      <c r="Q52">
        <v>306</v>
      </c>
      <c r="R52">
        <v>21</v>
      </c>
      <c r="S52">
        <v>45.178757924634503</v>
      </c>
      <c r="T52" t="s">
        <v>46</v>
      </c>
      <c r="U52">
        <v>4.7548008046711798</v>
      </c>
      <c r="V52" t="s">
        <v>47</v>
      </c>
      <c r="W52" t="s">
        <v>32</v>
      </c>
      <c r="X52">
        <v>496.24865029194001</v>
      </c>
      <c r="Y52" t="str">
        <f>VLOOKUP(N52,Table2[],3,0)</f>
        <v>Medium</v>
      </c>
      <c r="Z52">
        <f>_xlfn.XLOOKUP(N52,Table2[Supplier name],Table2[Reliability score],"not found")</f>
        <v>6</v>
      </c>
      <c r="AA52">
        <f t="shared" si="0"/>
        <v>3.8446144787675798</v>
      </c>
      <c r="AB52">
        <f t="shared" si="1"/>
        <v>3.8446144787675798</v>
      </c>
    </row>
    <row r="53" spans="1:28">
      <c r="A53" t="s">
        <v>24</v>
      </c>
      <c r="B53" t="s">
        <v>105</v>
      </c>
      <c r="C53" s="1">
        <v>26.700760972461701</v>
      </c>
      <c r="D53">
        <v>61</v>
      </c>
      <c r="E53">
        <v>154</v>
      </c>
      <c r="F53" s="1">
        <v>9866.4654579796897</v>
      </c>
      <c r="G53" t="s">
        <v>55</v>
      </c>
      <c r="H53">
        <v>100</v>
      </c>
      <c r="I53">
        <v>4</v>
      </c>
      <c r="J53">
        <v>52</v>
      </c>
      <c r="K53">
        <v>1</v>
      </c>
      <c r="L53" t="s">
        <v>36</v>
      </c>
      <c r="M53">
        <v>4.78300055794766</v>
      </c>
      <c r="N53" t="s">
        <v>44</v>
      </c>
      <c r="O53" t="s">
        <v>53</v>
      </c>
      <c r="P53">
        <v>18</v>
      </c>
      <c r="Q53">
        <v>673</v>
      </c>
      <c r="R53">
        <v>28</v>
      </c>
      <c r="S53">
        <v>14.190328344569901</v>
      </c>
      <c r="T53" t="s">
        <v>30</v>
      </c>
      <c r="U53">
        <v>1.77295117208355</v>
      </c>
      <c r="V53" t="s">
        <v>31</v>
      </c>
      <c r="W53" t="s">
        <v>48</v>
      </c>
      <c r="X53">
        <v>694.98231757944495</v>
      </c>
      <c r="Y53" t="str">
        <f>VLOOKUP(N53,Table2[],3,0)</f>
        <v>Medium</v>
      </c>
      <c r="Z53">
        <f>_xlfn.XLOOKUP(N53,Table2[Supplier name],Table2[Reliability score],"not found")</f>
        <v>7</v>
      </c>
      <c r="AA53">
        <f t="shared" si="0"/>
        <v>4.7466486206477496</v>
      </c>
      <c r="AB53">
        <f t="shared" si="1"/>
        <v>4.7466486206477496</v>
      </c>
    </row>
    <row r="54" spans="1:28">
      <c r="A54" t="s">
        <v>33</v>
      </c>
      <c r="B54" t="s">
        <v>106</v>
      </c>
      <c r="C54" s="1">
        <v>98.031829656465007</v>
      </c>
      <c r="D54">
        <v>1</v>
      </c>
      <c r="E54">
        <v>820</v>
      </c>
      <c r="F54" s="1">
        <v>9435.7626089121295</v>
      </c>
      <c r="G54" t="s">
        <v>55</v>
      </c>
      <c r="H54">
        <v>64</v>
      </c>
      <c r="I54">
        <v>11</v>
      </c>
      <c r="J54">
        <v>11</v>
      </c>
      <c r="K54">
        <v>1</v>
      </c>
      <c r="L54" t="s">
        <v>27</v>
      </c>
      <c r="M54">
        <v>8.6310521797689397</v>
      </c>
      <c r="N54" t="s">
        <v>39</v>
      </c>
      <c r="O54" t="s">
        <v>29</v>
      </c>
      <c r="P54">
        <v>10</v>
      </c>
      <c r="Q54">
        <v>727</v>
      </c>
      <c r="R54">
        <v>27</v>
      </c>
      <c r="S54">
        <v>9.1668491485971497</v>
      </c>
      <c r="T54" t="s">
        <v>30</v>
      </c>
      <c r="U54">
        <v>2.1224716191438202</v>
      </c>
      <c r="V54" t="s">
        <v>40</v>
      </c>
      <c r="W54" t="s">
        <v>41</v>
      </c>
      <c r="X54">
        <v>602.89849883838303</v>
      </c>
      <c r="Y54" t="str">
        <f>VLOOKUP(N54,Table2[],3,0)</f>
        <v>Short</v>
      </c>
      <c r="Z54">
        <f>_xlfn.XLOOKUP(N54,Table2[Supplier name],Table2[Reliability score],"not found")</f>
        <v>8</v>
      </c>
      <c r="AA54">
        <f t="shared" si="0"/>
        <v>4.5805926191992201</v>
      </c>
      <c r="AB54">
        <f t="shared" si="1"/>
        <v>4.5805926191992201</v>
      </c>
    </row>
    <row r="55" spans="1:28">
      <c r="A55" t="s">
        <v>33</v>
      </c>
      <c r="B55" t="s">
        <v>107</v>
      </c>
      <c r="C55" s="1">
        <v>30.3414707112142</v>
      </c>
      <c r="D55">
        <v>93</v>
      </c>
      <c r="E55">
        <v>242</v>
      </c>
      <c r="F55" s="1">
        <v>8232.3348294258194</v>
      </c>
      <c r="G55" t="s">
        <v>55</v>
      </c>
      <c r="H55">
        <v>96</v>
      </c>
      <c r="I55">
        <v>25</v>
      </c>
      <c r="J55">
        <v>54</v>
      </c>
      <c r="K55">
        <v>3</v>
      </c>
      <c r="L55" t="s">
        <v>27</v>
      </c>
      <c r="M55">
        <v>1.0134865660958901</v>
      </c>
      <c r="N55" t="s">
        <v>39</v>
      </c>
      <c r="O55" t="s">
        <v>50</v>
      </c>
      <c r="P55">
        <v>1</v>
      </c>
      <c r="Q55">
        <v>631</v>
      </c>
      <c r="R55">
        <v>17</v>
      </c>
      <c r="S55">
        <v>83.344058991677898</v>
      </c>
      <c r="T55" t="s">
        <v>30</v>
      </c>
      <c r="U55">
        <v>1.41034757607602</v>
      </c>
      <c r="V55" t="s">
        <v>40</v>
      </c>
      <c r="W55" t="s">
        <v>32</v>
      </c>
      <c r="X55">
        <v>750.73784066827</v>
      </c>
      <c r="Y55" t="str">
        <f>VLOOKUP(N55,Table2[],3,0)</f>
        <v>Short</v>
      </c>
      <c r="Z55">
        <f>_xlfn.XLOOKUP(N55,Table2[Supplier name],Table2[Reliability score],"not found")</f>
        <v>8</v>
      </c>
      <c r="AA55">
        <f t="shared" si="0"/>
        <v>4.5805926191992201</v>
      </c>
      <c r="AB55">
        <f t="shared" si="1"/>
        <v>4.5805926191992201</v>
      </c>
    </row>
    <row r="56" spans="1:28">
      <c r="A56" t="s">
        <v>24</v>
      </c>
      <c r="B56" t="s">
        <v>108</v>
      </c>
      <c r="C56" s="1">
        <v>31.1462431602408</v>
      </c>
      <c r="D56">
        <v>11</v>
      </c>
      <c r="E56">
        <v>622</v>
      </c>
      <c r="F56" s="1">
        <v>6088.0214799408504</v>
      </c>
      <c r="G56" t="s">
        <v>26</v>
      </c>
      <c r="H56">
        <v>33</v>
      </c>
      <c r="I56">
        <v>22</v>
      </c>
      <c r="J56">
        <v>61</v>
      </c>
      <c r="K56">
        <v>3</v>
      </c>
      <c r="L56" t="s">
        <v>27</v>
      </c>
      <c r="M56">
        <v>4.3051034712876302</v>
      </c>
      <c r="N56" t="s">
        <v>39</v>
      </c>
      <c r="O56" t="s">
        <v>45</v>
      </c>
      <c r="P56">
        <v>26</v>
      </c>
      <c r="Q56">
        <v>497</v>
      </c>
      <c r="R56">
        <v>29</v>
      </c>
      <c r="S56">
        <v>30.186023375822501</v>
      </c>
      <c r="T56" t="s">
        <v>64</v>
      </c>
      <c r="U56">
        <v>2.4787719755397402</v>
      </c>
      <c r="V56" t="s">
        <v>31</v>
      </c>
      <c r="W56" t="s">
        <v>32</v>
      </c>
      <c r="X56">
        <v>814.06999658218695</v>
      </c>
      <c r="Y56" t="str">
        <f>VLOOKUP(N56,Table2[],3,0)</f>
        <v>Short</v>
      </c>
      <c r="Z56">
        <f>_xlfn.XLOOKUP(N56,Table2[Supplier name],Table2[Reliability score],"not found")</f>
        <v>8</v>
      </c>
      <c r="AA56">
        <f t="shared" si="0"/>
        <v>4.5805926191992201</v>
      </c>
      <c r="AB56">
        <f t="shared" si="1"/>
        <v>4.5805926191992201</v>
      </c>
    </row>
    <row r="57" spans="1:28">
      <c r="A57" t="s">
        <v>24</v>
      </c>
      <c r="B57" t="s">
        <v>109</v>
      </c>
      <c r="C57" s="1">
        <v>79.855058340789398</v>
      </c>
      <c r="D57">
        <v>16</v>
      </c>
      <c r="E57">
        <v>701</v>
      </c>
      <c r="F57" s="1">
        <v>2925.6751703038099</v>
      </c>
      <c r="G57" t="s">
        <v>55</v>
      </c>
      <c r="H57">
        <v>97</v>
      </c>
      <c r="I57">
        <v>11</v>
      </c>
      <c r="J57">
        <v>11</v>
      </c>
      <c r="K57">
        <v>5</v>
      </c>
      <c r="L57" t="s">
        <v>36</v>
      </c>
      <c r="M57">
        <v>5.0143649550309002</v>
      </c>
      <c r="N57" t="s">
        <v>61</v>
      </c>
      <c r="O57" t="s">
        <v>50</v>
      </c>
      <c r="P57">
        <v>27</v>
      </c>
      <c r="Q57">
        <v>918</v>
      </c>
      <c r="R57">
        <v>5</v>
      </c>
      <c r="S57">
        <v>30.323545256616502</v>
      </c>
      <c r="T57" t="s">
        <v>46</v>
      </c>
      <c r="U57">
        <v>4.5489196593963799</v>
      </c>
      <c r="V57" t="s">
        <v>56</v>
      </c>
      <c r="W57" t="s">
        <v>32</v>
      </c>
      <c r="X57">
        <v>323.01292795247798</v>
      </c>
      <c r="Y57" t="str">
        <f>VLOOKUP(N57,Table2[],3,0)</f>
        <v>Medium</v>
      </c>
      <c r="Z57">
        <f>_xlfn.XLOOKUP(N57,Table2[Supplier name],Table2[Reliability score],"not found")</f>
        <v>6</v>
      </c>
      <c r="AA57">
        <f t="shared" si="0"/>
        <v>3.8446144787675798</v>
      </c>
      <c r="AB57">
        <f t="shared" si="1"/>
        <v>3.8446144787675798</v>
      </c>
    </row>
    <row r="58" spans="1:28">
      <c r="A58" t="s">
        <v>33</v>
      </c>
      <c r="B58" t="s">
        <v>110</v>
      </c>
      <c r="C58" s="1">
        <v>20.9863860370433</v>
      </c>
      <c r="D58">
        <v>90</v>
      </c>
      <c r="E58">
        <v>93</v>
      </c>
      <c r="F58" s="1">
        <v>4767.0204843441297</v>
      </c>
      <c r="G58" t="s">
        <v>26</v>
      </c>
      <c r="H58">
        <v>25</v>
      </c>
      <c r="I58">
        <v>23</v>
      </c>
      <c r="J58">
        <v>83</v>
      </c>
      <c r="K58">
        <v>5</v>
      </c>
      <c r="L58" t="s">
        <v>43</v>
      </c>
      <c r="M58">
        <v>1.77442971407173</v>
      </c>
      <c r="N58" t="s">
        <v>39</v>
      </c>
      <c r="O58" t="s">
        <v>29</v>
      </c>
      <c r="P58">
        <v>24</v>
      </c>
      <c r="Q58">
        <v>826</v>
      </c>
      <c r="R58">
        <v>28</v>
      </c>
      <c r="S58">
        <v>12.8362845728327</v>
      </c>
      <c r="T58" t="s">
        <v>64</v>
      </c>
      <c r="U58">
        <v>1.1737554953874501</v>
      </c>
      <c r="V58" t="s">
        <v>40</v>
      </c>
      <c r="W58" t="s">
        <v>32</v>
      </c>
      <c r="X58">
        <v>832.210808706021</v>
      </c>
      <c r="Y58" t="str">
        <f>VLOOKUP(N58,Table2[],3,0)</f>
        <v>Short</v>
      </c>
      <c r="Z58">
        <f>_xlfn.XLOOKUP(N58,Table2[Supplier name],Table2[Reliability score],"not found")</f>
        <v>8</v>
      </c>
      <c r="AA58">
        <f t="shared" si="0"/>
        <v>4.5805926191992201</v>
      </c>
      <c r="AB58">
        <f t="shared" si="1"/>
        <v>4.5805926191992201</v>
      </c>
    </row>
    <row r="59" spans="1:28">
      <c r="A59" t="s">
        <v>24</v>
      </c>
      <c r="B59" t="s">
        <v>111</v>
      </c>
      <c r="C59" s="1">
        <v>49.263205350734097</v>
      </c>
      <c r="D59">
        <v>65</v>
      </c>
      <c r="E59">
        <v>227</v>
      </c>
      <c r="F59" s="1">
        <v>1605.8669003924001</v>
      </c>
      <c r="G59" t="s">
        <v>38</v>
      </c>
      <c r="H59">
        <v>5</v>
      </c>
      <c r="I59">
        <v>18</v>
      </c>
      <c r="J59">
        <v>51</v>
      </c>
      <c r="K59">
        <v>1</v>
      </c>
      <c r="L59" t="s">
        <v>27</v>
      </c>
      <c r="M59">
        <v>9.1605585353818704</v>
      </c>
      <c r="N59" t="s">
        <v>61</v>
      </c>
      <c r="O59" t="s">
        <v>50</v>
      </c>
      <c r="P59">
        <v>21</v>
      </c>
      <c r="Q59">
        <v>588</v>
      </c>
      <c r="R59">
        <v>25</v>
      </c>
      <c r="S59">
        <v>67.779622987078099</v>
      </c>
      <c r="T59" t="s">
        <v>30</v>
      </c>
      <c r="U59">
        <v>2.5111748302126999</v>
      </c>
      <c r="V59" t="s">
        <v>47</v>
      </c>
      <c r="W59" t="s">
        <v>48</v>
      </c>
      <c r="X59">
        <v>482.19123860252802</v>
      </c>
      <c r="Y59" t="str">
        <f>VLOOKUP(N59,Table2[],3,0)</f>
        <v>Medium</v>
      </c>
      <c r="Z59">
        <f>_xlfn.XLOOKUP(N59,Table2[Supplier name],Table2[Reliability score],"not found")</f>
        <v>6</v>
      </c>
      <c r="AA59">
        <f t="shared" si="0"/>
        <v>3.8446144787675798</v>
      </c>
      <c r="AB59">
        <f t="shared" si="1"/>
        <v>3.8446144787675798</v>
      </c>
    </row>
    <row r="60" spans="1:28">
      <c r="A60" t="s">
        <v>33</v>
      </c>
      <c r="B60" t="s">
        <v>112</v>
      </c>
      <c r="C60" s="1">
        <v>59.841561377289302</v>
      </c>
      <c r="D60">
        <v>81</v>
      </c>
      <c r="E60">
        <v>896</v>
      </c>
      <c r="F60" s="1">
        <v>2021.1498103371</v>
      </c>
      <c r="G60" t="s">
        <v>26</v>
      </c>
      <c r="H60">
        <v>10</v>
      </c>
      <c r="I60">
        <v>5</v>
      </c>
      <c r="J60">
        <v>44</v>
      </c>
      <c r="K60">
        <v>7</v>
      </c>
      <c r="L60" t="s">
        <v>36</v>
      </c>
      <c r="M60">
        <v>4.9384385647120901</v>
      </c>
      <c r="N60" t="s">
        <v>28</v>
      </c>
      <c r="O60" t="s">
        <v>50</v>
      </c>
      <c r="P60">
        <v>18</v>
      </c>
      <c r="Q60">
        <v>396</v>
      </c>
      <c r="R60">
        <v>7</v>
      </c>
      <c r="S60">
        <v>65.047415094691402</v>
      </c>
      <c r="T60" t="s">
        <v>46</v>
      </c>
      <c r="U60">
        <v>1.7303747198591899</v>
      </c>
      <c r="V60" t="s">
        <v>31</v>
      </c>
      <c r="W60" t="s">
        <v>32</v>
      </c>
      <c r="X60">
        <v>110.364335231364</v>
      </c>
      <c r="Y60" t="str">
        <f>VLOOKUP(N60,Table2[],3,0)</f>
        <v>Short</v>
      </c>
      <c r="Z60">
        <f>_xlfn.XLOOKUP(N60,Table2[Supplier name],Table2[Reliability score],"not found")</f>
        <v>9</v>
      </c>
      <c r="AA60">
        <f t="shared" si="0"/>
        <v>0.226410360849925</v>
      </c>
      <c r="AB60">
        <f t="shared" si="1"/>
        <v>0.226410360849925</v>
      </c>
    </row>
    <row r="61" spans="1:28">
      <c r="A61" t="s">
        <v>57</v>
      </c>
      <c r="B61" t="s">
        <v>113</v>
      </c>
      <c r="C61" s="1">
        <v>63.828398347710902</v>
      </c>
      <c r="D61">
        <v>30</v>
      </c>
      <c r="E61">
        <v>484</v>
      </c>
      <c r="F61" s="1">
        <v>1061.6185230132801</v>
      </c>
      <c r="G61" t="s">
        <v>26</v>
      </c>
      <c r="H61">
        <v>100</v>
      </c>
      <c r="I61">
        <v>16</v>
      </c>
      <c r="J61">
        <v>26</v>
      </c>
      <c r="K61">
        <v>7</v>
      </c>
      <c r="L61" t="s">
        <v>27</v>
      </c>
      <c r="M61">
        <v>7.2937225968677204</v>
      </c>
      <c r="N61" t="s">
        <v>39</v>
      </c>
      <c r="O61" t="s">
        <v>45</v>
      </c>
      <c r="P61">
        <v>11</v>
      </c>
      <c r="Q61">
        <v>176</v>
      </c>
      <c r="R61">
        <v>4</v>
      </c>
      <c r="S61">
        <v>1.90076224351945</v>
      </c>
      <c r="T61" t="s">
        <v>46</v>
      </c>
      <c r="U61">
        <v>0.44719401546382298</v>
      </c>
      <c r="V61" t="s">
        <v>40</v>
      </c>
      <c r="W61" t="s">
        <v>48</v>
      </c>
      <c r="X61">
        <v>312.57427361009297</v>
      </c>
      <c r="Y61" t="str">
        <f>VLOOKUP(N61,Table2[],3,0)</f>
        <v>Short</v>
      </c>
      <c r="Z61">
        <f>_xlfn.XLOOKUP(N61,Table2[Supplier name],Table2[Reliability score],"not found")</f>
        <v>8</v>
      </c>
      <c r="AA61">
        <f t="shared" si="0"/>
        <v>4.5805926191992201</v>
      </c>
      <c r="AB61">
        <f t="shared" si="1"/>
        <v>4.5805926191992201</v>
      </c>
    </row>
    <row r="62" spans="1:28">
      <c r="A62" t="s">
        <v>33</v>
      </c>
      <c r="B62" t="s">
        <v>114</v>
      </c>
      <c r="C62" s="1">
        <v>17.028027920188698</v>
      </c>
      <c r="D62">
        <v>16</v>
      </c>
      <c r="E62">
        <v>380</v>
      </c>
      <c r="F62" s="1">
        <v>8864.0843495864301</v>
      </c>
      <c r="G62" t="s">
        <v>35</v>
      </c>
      <c r="H62">
        <v>41</v>
      </c>
      <c r="I62">
        <v>27</v>
      </c>
      <c r="J62">
        <v>72</v>
      </c>
      <c r="K62">
        <v>8</v>
      </c>
      <c r="L62" t="s">
        <v>43</v>
      </c>
      <c r="M62">
        <v>4.3813681581023101</v>
      </c>
      <c r="N62" t="s">
        <v>52</v>
      </c>
      <c r="O62" t="s">
        <v>29</v>
      </c>
      <c r="P62">
        <v>29</v>
      </c>
      <c r="Q62">
        <v>929</v>
      </c>
      <c r="R62">
        <v>24</v>
      </c>
      <c r="S62">
        <v>87.213057815135599</v>
      </c>
      <c r="T62" t="s">
        <v>46</v>
      </c>
      <c r="U62">
        <v>2.8530906166490499</v>
      </c>
      <c r="V62" t="s">
        <v>47</v>
      </c>
      <c r="W62" t="s">
        <v>48</v>
      </c>
      <c r="X62">
        <v>430.16909697513597</v>
      </c>
      <c r="Y62" t="str">
        <f>VLOOKUP(N62,Table2[],3,0)</f>
        <v>Long</v>
      </c>
      <c r="Z62">
        <f>_xlfn.XLOOKUP(N62,Table2[Supplier name],Table2[Reliability score],"not found")</f>
        <v>5</v>
      </c>
      <c r="AA62">
        <f t="shared" si="0"/>
        <v>2.7791935115711599</v>
      </c>
      <c r="AB62">
        <f t="shared" si="1"/>
        <v>2.7791935115711599</v>
      </c>
    </row>
    <row r="63" spans="1:28">
      <c r="A63" t="s">
        <v>24</v>
      </c>
      <c r="B63" t="s">
        <v>115</v>
      </c>
      <c r="C63" s="1">
        <v>52.028749903294901</v>
      </c>
      <c r="D63">
        <v>23</v>
      </c>
      <c r="E63">
        <v>117</v>
      </c>
      <c r="F63" s="1">
        <v>6885.5893508962499</v>
      </c>
      <c r="G63" t="s">
        <v>38</v>
      </c>
      <c r="H63">
        <v>32</v>
      </c>
      <c r="I63">
        <v>23</v>
      </c>
      <c r="J63">
        <v>36</v>
      </c>
      <c r="K63">
        <v>7</v>
      </c>
      <c r="L63" t="s">
        <v>43</v>
      </c>
      <c r="M63">
        <v>9.0303404225219399</v>
      </c>
      <c r="N63" t="s">
        <v>52</v>
      </c>
      <c r="O63" t="s">
        <v>45</v>
      </c>
      <c r="P63">
        <v>14</v>
      </c>
      <c r="Q63">
        <v>480</v>
      </c>
      <c r="R63">
        <v>12</v>
      </c>
      <c r="S63">
        <v>78.702393968878894</v>
      </c>
      <c r="T63" t="s">
        <v>46</v>
      </c>
      <c r="U63">
        <v>4.3674705382050503</v>
      </c>
      <c r="V63" t="s">
        <v>40</v>
      </c>
      <c r="W63" t="s">
        <v>48</v>
      </c>
      <c r="X63">
        <v>164.366528243419</v>
      </c>
      <c r="Y63" t="str">
        <f>VLOOKUP(N63,Table2[],3,0)</f>
        <v>Long</v>
      </c>
      <c r="Z63">
        <f>_xlfn.XLOOKUP(N63,Table2[Supplier name],Table2[Reliability score],"not found")</f>
        <v>5</v>
      </c>
      <c r="AA63">
        <f t="shared" si="0"/>
        <v>2.7791935115711599</v>
      </c>
      <c r="AB63">
        <f t="shared" si="1"/>
        <v>2.7791935115711599</v>
      </c>
    </row>
    <row r="64" spans="1:28">
      <c r="A64" t="s">
        <v>57</v>
      </c>
      <c r="B64" t="s">
        <v>116</v>
      </c>
      <c r="C64" s="1">
        <v>72.796353955587307</v>
      </c>
      <c r="D64">
        <v>89</v>
      </c>
      <c r="E64">
        <v>270</v>
      </c>
      <c r="F64" s="1">
        <v>3899.7468337292198</v>
      </c>
      <c r="G64" t="s">
        <v>38</v>
      </c>
      <c r="H64">
        <v>86</v>
      </c>
      <c r="I64">
        <v>2</v>
      </c>
      <c r="J64">
        <v>40</v>
      </c>
      <c r="K64">
        <v>7</v>
      </c>
      <c r="L64" t="s">
        <v>43</v>
      </c>
      <c r="M64">
        <v>7.2917013887767697</v>
      </c>
      <c r="N64" t="s">
        <v>61</v>
      </c>
      <c r="O64" t="s">
        <v>29</v>
      </c>
      <c r="P64">
        <v>13</v>
      </c>
      <c r="Q64">
        <v>751</v>
      </c>
      <c r="R64">
        <v>14</v>
      </c>
      <c r="S64">
        <v>21.048642725168602</v>
      </c>
      <c r="T64" t="s">
        <v>64</v>
      </c>
      <c r="U64">
        <v>1.87400140404437</v>
      </c>
      <c r="V64" t="s">
        <v>56</v>
      </c>
      <c r="W64" t="s">
        <v>41</v>
      </c>
      <c r="X64">
        <v>320.84651575911101</v>
      </c>
      <c r="Y64" t="str">
        <f>VLOOKUP(N64,Table2[],3,0)</f>
        <v>Medium</v>
      </c>
      <c r="Z64">
        <f>_xlfn.XLOOKUP(N64,Table2[Supplier name],Table2[Reliability score],"not found")</f>
        <v>6</v>
      </c>
      <c r="AA64">
        <f t="shared" si="0"/>
        <v>3.8446144787675798</v>
      </c>
      <c r="AB64">
        <f t="shared" si="1"/>
        <v>3.8446144787675798</v>
      </c>
    </row>
    <row r="65" spans="1:28">
      <c r="A65" t="s">
        <v>33</v>
      </c>
      <c r="B65" t="s">
        <v>117</v>
      </c>
      <c r="C65" s="1">
        <v>13.0173767852878</v>
      </c>
      <c r="D65">
        <v>55</v>
      </c>
      <c r="E65">
        <v>246</v>
      </c>
      <c r="F65" s="1">
        <v>4256.9491408502199</v>
      </c>
      <c r="G65" t="s">
        <v>26</v>
      </c>
      <c r="H65">
        <v>54</v>
      </c>
      <c r="I65">
        <v>19</v>
      </c>
      <c r="J65">
        <v>10</v>
      </c>
      <c r="K65">
        <v>4</v>
      </c>
      <c r="L65" t="s">
        <v>36</v>
      </c>
      <c r="M65">
        <v>2.45793352798733</v>
      </c>
      <c r="N65" t="s">
        <v>28</v>
      </c>
      <c r="O65" t="s">
        <v>53</v>
      </c>
      <c r="P65">
        <v>18</v>
      </c>
      <c r="Q65">
        <v>736</v>
      </c>
      <c r="R65">
        <v>10</v>
      </c>
      <c r="S65">
        <v>20.075003975630398</v>
      </c>
      <c r="T65" t="s">
        <v>30</v>
      </c>
      <c r="U65">
        <v>3.6328432903821302</v>
      </c>
      <c r="V65" t="s">
        <v>56</v>
      </c>
      <c r="W65" t="s">
        <v>48</v>
      </c>
      <c r="X65">
        <v>687.28617786641701</v>
      </c>
      <c r="Y65" t="str">
        <f>VLOOKUP(N65,Table2[],3,0)</f>
        <v>Short</v>
      </c>
      <c r="Z65">
        <f>_xlfn.XLOOKUP(N65,Table2[Supplier name],Table2[Reliability score],"not found")</f>
        <v>9</v>
      </c>
      <c r="AA65">
        <f t="shared" si="0"/>
        <v>0.226410360849925</v>
      </c>
      <c r="AB65">
        <f t="shared" si="1"/>
        <v>0.226410360849925</v>
      </c>
    </row>
    <row r="66" spans="1:28">
      <c r="A66" t="s">
        <v>33</v>
      </c>
      <c r="B66" t="s">
        <v>118</v>
      </c>
      <c r="C66" s="1">
        <v>89.634095608135297</v>
      </c>
      <c r="D66">
        <v>11</v>
      </c>
      <c r="E66">
        <v>134</v>
      </c>
      <c r="F66" s="1">
        <v>8458.7308783671706</v>
      </c>
      <c r="G66" t="s">
        <v>35</v>
      </c>
      <c r="H66">
        <v>73</v>
      </c>
      <c r="I66">
        <v>27</v>
      </c>
      <c r="J66">
        <v>75</v>
      </c>
      <c r="K66">
        <v>6</v>
      </c>
      <c r="L66" t="s">
        <v>43</v>
      </c>
      <c r="M66">
        <v>4.5853534681946497</v>
      </c>
      <c r="N66" t="s">
        <v>39</v>
      </c>
      <c r="O66" t="s">
        <v>50</v>
      </c>
      <c r="P66">
        <v>17</v>
      </c>
      <c r="Q66">
        <v>328</v>
      </c>
      <c r="R66">
        <v>6</v>
      </c>
      <c r="S66">
        <v>8.6930424258772803</v>
      </c>
      <c r="T66" t="s">
        <v>46</v>
      </c>
      <c r="U66">
        <v>0.15948631471751401</v>
      </c>
      <c r="V66" t="s">
        <v>40</v>
      </c>
      <c r="W66" t="s">
        <v>41</v>
      </c>
      <c r="X66">
        <v>771.225084681157</v>
      </c>
      <c r="Y66" t="str">
        <f>VLOOKUP(N66,Table2[],3,0)</f>
        <v>Short</v>
      </c>
      <c r="Z66">
        <f>_xlfn.XLOOKUP(N66,Table2[Supplier name],Table2[Reliability score],"not found")</f>
        <v>8</v>
      </c>
      <c r="AA66">
        <f t="shared" si="0"/>
        <v>4.5805926191992201</v>
      </c>
      <c r="AB66">
        <f t="shared" si="1"/>
        <v>4.5805926191992201</v>
      </c>
    </row>
    <row r="67" spans="1:28">
      <c r="A67" t="s">
        <v>33</v>
      </c>
      <c r="B67" t="s">
        <v>119</v>
      </c>
      <c r="C67" s="1">
        <v>33.697717206643098</v>
      </c>
      <c r="D67">
        <v>72</v>
      </c>
      <c r="E67">
        <v>457</v>
      </c>
      <c r="F67" s="1">
        <v>8354.5796864819895</v>
      </c>
      <c r="G67" t="s">
        <v>55</v>
      </c>
      <c r="H67">
        <v>57</v>
      </c>
      <c r="I67">
        <v>24</v>
      </c>
      <c r="J67">
        <v>54</v>
      </c>
      <c r="K67">
        <v>8</v>
      </c>
      <c r="L67" t="s">
        <v>43</v>
      </c>
      <c r="M67">
        <v>6.5805413478845898</v>
      </c>
      <c r="N67" t="s">
        <v>44</v>
      </c>
      <c r="O67" t="s">
        <v>45</v>
      </c>
      <c r="P67">
        <v>16</v>
      </c>
      <c r="Q67">
        <v>358</v>
      </c>
      <c r="R67">
        <v>21</v>
      </c>
      <c r="S67">
        <v>1.59722274305067</v>
      </c>
      <c r="T67" t="s">
        <v>46</v>
      </c>
      <c r="U67">
        <v>4.9110959548423301</v>
      </c>
      <c r="V67" t="s">
        <v>47</v>
      </c>
      <c r="W67" t="s">
        <v>41</v>
      </c>
      <c r="X67">
        <v>555.85910367174301</v>
      </c>
      <c r="Y67" t="str">
        <f>VLOOKUP(N67,Table2[],3,0)</f>
        <v>Medium</v>
      </c>
      <c r="Z67">
        <f>_xlfn.XLOOKUP(N67,Table2[Supplier name],Table2[Reliability score],"not found")</f>
        <v>7</v>
      </c>
      <c r="AA67">
        <f t="shared" ref="AA67:AA101" si="2">INDEX($U$2:$U$101,MATCH(N67,$N$2:$N$101,0))</f>
        <v>4.7466486206477496</v>
      </c>
      <c r="AB67">
        <f t="shared" ref="AB67:AB101" si="3">IFERROR(INDEX($U$2:$U$101,MATCH(N67,$N$2:$N$101,0)),"No data")</f>
        <v>4.7466486206477496</v>
      </c>
    </row>
    <row r="68" spans="1:28">
      <c r="A68" t="s">
        <v>33</v>
      </c>
      <c r="B68" t="s">
        <v>120</v>
      </c>
      <c r="C68" s="1">
        <v>26.034869773962001</v>
      </c>
      <c r="D68">
        <v>52</v>
      </c>
      <c r="E68">
        <v>704</v>
      </c>
      <c r="F68" s="1">
        <v>8367.7216180201503</v>
      </c>
      <c r="G68" t="s">
        <v>35</v>
      </c>
      <c r="H68">
        <v>13</v>
      </c>
      <c r="I68">
        <v>17</v>
      </c>
      <c r="J68">
        <v>19</v>
      </c>
      <c r="K68">
        <v>8</v>
      </c>
      <c r="L68" t="s">
        <v>36</v>
      </c>
      <c r="M68">
        <v>2.2161427287713602</v>
      </c>
      <c r="N68" t="s">
        <v>44</v>
      </c>
      <c r="O68" t="s">
        <v>45</v>
      </c>
      <c r="P68">
        <v>24</v>
      </c>
      <c r="Q68">
        <v>867</v>
      </c>
      <c r="R68">
        <v>28</v>
      </c>
      <c r="S68">
        <v>42.084436738309897</v>
      </c>
      <c r="T68" t="s">
        <v>46</v>
      </c>
      <c r="U68">
        <v>3.44806328834026</v>
      </c>
      <c r="V68" t="s">
        <v>31</v>
      </c>
      <c r="W68" t="s">
        <v>48</v>
      </c>
      <c r="X68">
        <v>393.84334857842703</v>
      </c>
      <c r="Y68" t="str">
        <f>VLOOKUP(N68,Table2[],3,0)</f>
        <v>Medium</v>
      </c>
      <c r="Z68">
        <f>_xlfn.XLOOKUP(N68,Table2[Supplier name],Table2[Reliability score],"not found")</f>
        <v>7</v>
      </c>
      <c r="AA68">
        <f t="shared" si="2"/>
        <v>4.7466486206477496</v>
      </c>
      <c r="AB68">
        <f t="shared" si="3"/>
        <v>4.7466486206477496</v>
      </c>
    </row>
    <row r="69" spans="1:28">
      <c r="A69" t="s">
        <v>33</v>
      </c>
      <c r="B69" t="s">
        <v>121</v>
      </c>
      <c r="C69" s="1">
        <v>87.755432354001002</v>
      </c>
      <c r="D69">
        <v>16</v>
      </c>
      <c r="E69">
        <v>513</v>
      </c>
      <c r="F69" s="1">
        <v>9473.7980325083299</v>
      </c>
      <c r="G69" t="s">
        <v>38</v>
      </c>
      <c r="H69">
        <v>12</v>
      </c>
      <c r="I69">
        <v>9</v>
      </c>
      <c r="J69">
        <v>71</v>
      </c>
      <c r="K69">
        <v>9</v>
      </c>
      <c r="L69" t="s">
        <v>43</v>
      </c>
      <c r="M69">
        <v>9.1478115447106294</v>
      </c>
      <c r="N69" t="s">
        <v>39</v>
      </c>
      <c r="O69" t="s">
        <v>29</v>
      </c>
      <c r="P69">
        <v>10</v>
      </c>
      <c r="Q69">
        <v>198</v>
      </c>
      <c r="R69">
        <v>11</v>
      </c>
      <c r="S69">
        <v>7.0578761469782298</v>
      </c>
      <c r="T69" t="s">
        <v>64</v>
      </c>
      <c r="U69">
        <v>0.131955444311814</v>
      </c>
      <c r="V69" t="s">
        <v>56</v>
      </c>
      <c r="W69" t="s">
        <v>41</v>
      </c>
      <c r="X69">
        <v>169.27180138478599</v>
      </c>
      <c r="Y69" t="str">
        <f>VLOOKUP(N69,Table2[],3,0)</f>
        <v>Short</v>
      </c>
      <c r="Z69">
        <f>_xlfn.XLOOKUP(N69,Table2[Supplier name],Table2[Reliability score],"not found")</f>
        <v>8</v>
      </c>
      <c r="AA69">
        <f t="shared" si="2"/>
        <v>4.5805926191992201</v>
      </c>
      <c r="AB69">
        <f t="shared" si="3"/>
        <v>4.5805926191992201</v>
      </c>
    </row>
    <row r="70" spans="1:28">
      <c r="A70" t="s">
        <v>24</v>
      </c>
      <c r="B70" t="s">
        <v>122</v>
      </c>
      <c r="C70" s="1">
        <v>37.931812382790298</v>
      </c>
      <c r="D70">
        <v>29</v>
      </c>
      <c r="E70">
        <v>163</v>
      </c>
      <c r="F70" s="1">
        <v>3550.21843278099</v>
      </c>
      <c r="G70" t="s">
        <v>26</v>
      </c>
      <c r="H70">
        <v>0</v>
      </c>
      <c r="I70">
        <v>8</v>
      </c>
      <c r="J70">
        <v>58</v>
      </c>
      <c r="K70">
        <v>8</v>
      </c>
      <c r="L70" t="s">
        <v>27</v>
      </c>
      <c r="M70">
        <v>1.19425186488499</v>
      </c>
      <c r="N70" t="s">
        <v>61</v>
      </c>
      <c r="O70" t="s">
        <v>53</v>
      </c>
      <c r="P70">
        <v>2</v>
      </c>
      <c r="Q70">
        <v>375</v>
      </c>
      <c r="R70">
        <v>18</v>
      </c>
      <c r="S70">
        <v>97.113581563462205</v>
      </c>
      <c r="T70" t="s">
        <v>46</v>
      </c>
      <c r="U70">
        <v>1.9834678721741801</v>
      </c>
      <c r="V70" t="s">
        <v>47</v>
      </c>
      <c r="W70" t="s">
        <v>48</v>
      </c>
      <c r="X70">
        <v>299.70630311810299</v>
      </c>
      <c r="Y70" t="str">
        <f>VLOOKUP(N70,Table2[],3,0)</f>
        <v>Medium</v>
      </c>
      <c r="Z70">
        <f>_xlfn.XLOOKUP(N70,Table2[Supplier name],Table2[Reliability score],"not found")</f>
        <v>6</v>
      </c>
      <c r="AA70">
        <f t="shared" si="2"/>
        <v>3.8446144787675798</v>
      </c>
      <c r="AB70">
        <f t="shared" si="3"/>
        <v>3.8446144787675798</v>
      </c>
    </row>
    <row r="71" spans="1:28">
      <c r="A71" t="s">
        <v>33</v>
      </c>
      <c r="B71" t="s">
        <v>123</v>
      </c>
      <c r="C71" s="1">
        <v>54.865528517069698</v>
      </c>
      <c r="D71">
        <v>62</v>
      </c>
      <c r="E71">
        <v>511</v>
      </c>
      <c r="F71" s="1">
        <v>1752.3810874841199</v>
      </c>
      <c r="G71" t="s">
        <v>26</v>
      </c>
      <c r="H71">
        <v>95</v>
      </c>
      <c r="I71">
        <v>1</v>
      </c>
      <c r="J71">
        <v>27</v>
      </c>
      <c r="K71">
        <v>3</v>
      </c>
      <c r="L71" t="s">
        <v>27</v>
      </c>
      <c r="M71">
        <v>9.7052867901203399</v>
      </c>
      <c r="N71" t="s">
        <v>52</v>
      </c>
      <c r="O71" t="s">
        <v>45</v>
      </c>
      <c r="P71">
        <v>9</v>
      </c>
      <c r="Q71">
        <v>862</v>
      </c>
      <c r="R71">
        <v>7</v>
      </c>
      <c r="S71">
        <v>77.627765812748095</v>
      </c>
      <c r="T71" t="s">
        <v>30</v>
      </c>
      <c r="U71">
        <v>1.3623879886490999</v>
      </c>
      <c r="V71" t="s">
        <v>40</v>
      </c>
      <c r="W71" t="s">
        <v>48</v>
      </c>
      <c r="X71">
        <v>207.66320620857499</v>
      </c>
      <c r="Y71" t="str">
        <f>VLOOKUP(N71,Table2[],3,0)</f>
        <v>Long</v>
      </c>
      <c r="Z71">
        <f>_xlfn.XLOOKUP(N71,Table2[Supplier name],Table2[Reliability score],"not found")</f>
        <v>5</v>
      </c>
      <c r="AA71">
        <f t="shared" si="2"/>
        <v>2.7791935115711599</v>
      </c>
      <c r="AB71">
        <f t="shared" si="3"/>
        <v>2.7791935115711599</v>
      </c>
    </row>
    <row r="72" spans="1:28">
      <c r="A72" t="s">
        <v>24</v>
      </c>
      <c r="B72" t="s">
        <v>124</v>
      </c>
      <c r="C72" s="1">
        <v>47.914541824058702</v>
      </c>
      <c r="D72">
        <v>90</v>
      </c>
      <c r="E72">
        <v>32</v>
      </c>
      <c r="F72" s="1">
        <v>7014.8879872033804</v>
      </c>
      <c r="G72" t="s">
        <v>35</v>
      </c>
      <c r="H72">
        <v>10</v>
      </c>
      <c r="I72">
        <v>12</v>
      </c>
      <c r="J72">
        <v>22</v>
      </c>
      <c r="K72">
        <v>4</v>
      </c>
      <c r="L72" t="s">
        <v>27</v>
      </c>
      <c r="M72">
        <v>6.3157177546007199</v>
      </c>
      <c r="N72" t="s">
        <v>39</v>
      </c>
      <c r="O72" t="s">
        <v>53</v>
      </c>
      <c r="P72">
        <v>22</v>
      </c>
      <c r="Q72">
        <v>775</v>
      </c>
      <c r="R72">
        <v>16</v>
      </c>
      <c r="S72">
        <v>11.440781823761199</v>
      </c>
      <c r="T72" t="s">
        <v>64</v>
      </c>
      <c r="U72">
        <v>1.8305755986122301</v>
      </c>
      <c r="V72" t="s">
        <v>31</v>
      </c>
      <c r="W72" t="s">
        <v>41</v>
      </c>
      <c r="X72">
        <v>183.27289874871099</v>
      </c>
      <c r="Y72" t="str">
        <f>VLOOKUP(N72,Table2[],3,0)</f>
        <v>Short</v>
      </c>
      <c r="Z72">
        <f>_xlfn.XLOOKUP(N72,Table2[Supplier name],Table2[Reliability score],"not found")</f>
        <v>8</v>
      </c>
      <c r="AA72">
        <f t="shared" si="2"/>
        <v>4.5805926191992201</v>
      </c>
      <c r="AB72">
        <f t="shared" si="3"/>
        <v>4.5805926191992201</v>
      </c>
    </row>
    <row r="73" spans="1:28">
      <c r="A73" t="s">
        <v>57</v>
      </c>
      <c r="B73" t="s">
        <v>125</v>
      </c>
      <c r="C73" s="1">
        <v>6.3815331627479601</v>
      </c>
      <c r="D73">
        <v>14</v>
      </c>
      <c r="E73">
        <v>637</v>
      </c>
      <c r="F73" s="1">
        <v>8180.3370854254399</v>
      </c>
      <c r="G73" t="s">
        <v>35</v>
      </c>
      <c r="H73">
        <v>76</v>
      </c>
      <c r="I73">
        <v>2</v>
      </c>
      <c r="J73">
        <v>26</v>
      </c>
      <c r="K73">
        <v>6</v>
      </c>
      <c r="L73" t="s">
        <v>36</v>
      </c>
      <c r="M73">
        <v>9.2281903170525101</v>
      </c>
      <c r="N73" t="s">
        <v>61</v>
      </c>
      <c r="O73" t="s">
        <v>53</v>
      </c>
      <c r="P73">
        <v>2</v>
      </c>
      <c r="Q73">
        <v>258</v>
      </c>
      <c r="R73">
        <v>10</v>
      </c>
      <c r="S73">
        <v>30.661677477859499</v>
      </c>
      <c r="T73" t="s">
        <v>30</v>
      </c>
      <c r="U73">
        <v>2.07875060787496</v>
      </c>
      <c r="V73" t="s">
        <v>31</v>
      </c>
      <c r="W73" t="s">
        <v>48</v>
      </c>
      <c r="X73">
        <v>405.167067888855</v>
      </c>
      <c r="Y73" t="str">
        <f>VLOOKUP(N73,Table2[],3,0)</f>
        <v>Medium</v>
      </c>
      <c r="Z73">
        <f>_xlfn.XLOOKUP(N73,Table2[Supplier name],Table2[Reliability score],"not found")</f>
        <v>6</v>
      </c>
      <c r="AA73">
        <f t="shared" si="2"/>
        <v>3.8446144787675798</v>
      </c>
      <c r="AB73">
        <f t="shared" si="3"/>
        <v>3.8446144787675798</v>
      </c>
    </row>
    <row r="74" spans="1:28">
      <c r="A74" t="s">
        <v>57</v>
      </c>
      <c r="B74" t="s">
        <v>126</v>
      </c>
      <c r="C74" s="1">
        <v>90.204427520528</v>
      </c>
      <c r="D74">
        <v>88</v>
      </c>
      <c r="E74">
        <v>478</v>
      </c>
      <c r="F74" s="1">
        <v>2633.1219813122498</v>
      </c>
      <c r="G74" t="s">
        <v>26</v>
      </c>
      <c r="H74">
        <v>57</v>
      </c>
      <c r="I74">
        <v>29</v>
      </c>
      <c r="J74">
        <v>77</v>
      </c>
      <c r="K74">
        <v>9</v>
      </c>
      <c r="L74" t="s">
        <v>36</v>
      </c>
      <c r="M74">
        <v>6.5996141596895397</v>
      </c>
      <c r="N74" t="s">
        <v>39</v>
      </c>
      <c r="O74" t="s">
        <v>53</v>
      </c>
      <c r="P74">
        <v>21</v>
      </c>
      <c r="Q74">
        <v>152</v>
      </c>
      <c r="R74">
        <v>11</v>
      </c>
      <c r="S74">
        <v>55.760492895244198</v>
      </c>
      <c r="T74" t="s">
        <v>30</v>
      </c>
      <c r="U74">
        <v>3.2133296074383</v>
      </c>
      <c r="V74" t="s">
        <v>47</v>
      </c>
      <c r="W74" t="s">
        <v>32</v>
      </c>
      <c r="X74">
        <v>677.94456984618296</v>
      </c>
      <c r="Y74" t="str">
        <f>VLOOKUP(N74,Table2[],3,0)</f>
        <v>Short</v>
      </c>
      <c r="Z74">
        <f>_xlfn.XLOOKUP(N74,Table2[Supplier name],Table2[Reliability score],"not found")</f>
        <v>8</v>
      </c>
      <c r="AA74">
        <f t="shared" si="2"/>
        <v>4.5805926191992201</v>
      </c>
      <c r="AB74">
        <f t="shared" si="3"/>
        <v>4.5805926191992201</v>
      </c>
    </row>
    <row r="75" spans="1:28">
      <c r="A75" t="s">
        <v>57</v>
      </c>
      <c r="B75" t="s">
        <v>127</v>
      </c>
      <c r="C75" s="1">
        <v>83.851017681304597</v>
      </c>
      <c r="D75">
        <v>41</v>
      </c>
      <c r="E75">
        <v>375</v>
      </c>
      <c r="F75" s="1">
        <v>7910.8869161406801</v>
      </c>
      <c r="G75" t="s">
        <v>55</v>
      </c>
      <c r="H75">
        <v>17</v>
      </c>
      <c r="I75">
        <v>25</v>
      </c>
      <c r="J75">
        <v>66</v>
      </c>
      <c r="K75">
        <v>5</v>
      </c>
      <c r="L75" t="s">
        <v>27</v>
      </c>
      <c r="M75">
        <v>1.5129368369160701</v>
      </c>
      <c r="N75" t="s">
        <v>52</v>
      </c>
      <c r="O75" t="s">
        <v>62</v>
      </c>
      <c r="P75">
        <v>13</v>
      </c>
      <c r="Q75">
        <v>444</v>
      </c>
      <c r="R75">
        <v>4</v>
      </c>
      <c r="S75">
        <v>46.870238797617098</v>
      </c>
      <c r="T75" t="s">
        <v>46</v>
      </c>
      <c r="U75">
        <v>4.6205460645137002</v>
      </c>
      <c r="V75" t="s">
        <v>31</v>
      </c>
      <c r="W75" t="s">
        <v>48</v>
      </c>
      <c r="X75">
        <v>866.472800129657</v>
      </c>
      <c r="Y75" t="str">
        <f>VLOOKUP(N75,Table2[],3,0)</f>
        <v>Long</v>
      </c>
      <c r="Z75">
        <f>_xlfn.XLOOKUP(N75,Table2[Supplier name],Table2[Reliability score],"not found")</f>
        <v>5</v>
      </c>
      <c r="AA75">
        <f t="shared" si="2"/>
        <v>2.7791935115711599</v>
      </c>
      <c r="AB75">
        <f t="shared" si="3"/>
        <v>2.7791935115711599</v>
      </c>
    </row>
    <row r="76" spans="1:28">
      <c r="A76" t="s">
        <v>24</v>
      </c>
      <c r="B76" t="s">
        <v>128</v>
      </c>
      <c r="C76" s="1">
        <v>3.1700114135661499</v>
      </c>
      <c r="D76">
        <v>64</v>
      </c>
      <c r="E76">
        <v>904</v>
      </c>
      <c r="F76" s="1">
        <v>5709.9452959692799</v>
      </c>
      <c r="G76" t="s">
        <v>35</v>
      </c>
      <c r="H76">
        <v>41</v>
      </c>
      <c r="I76">
        <v>6</v>
      </c>
      <c r="J76">
        <v>1</v>
      </c>
      <c r="K76">
        <v>5</v>
      </c>
      <c r="L76" t="s">
        <v>36</v>
      </c>
      <c r="M76">
        <v>5.2376546500374399</v>
      </c>
      <c r="N76" t="s">
        <v>52</v>
      </c>
      <c r="O76" t="s">
        <v>50</v>
      </c>
      <c r="P76">
        <v>1</v>
      </c>
      <c r="Q76">
        <v>919</v>
      </c>
      <c r="R76">
        <v>9</v>
      </c>
      <c r="S76">
        <v>80.580852156447804</v>
      </c>
      <c r="T76" t="s">
        <v>46</v>
      </c>
      <c r="U76">
        <v>0.39661272410993498</v>
      </c>
      <c r="V76" t="s">
        <v>47</v>
      </c>
      <c r="W76" t="s">
        <v>48</v>
      </c>
      <c r="X76">
        <v>341.55265678322297</v>
      </c>
      <c r="Y76" t="str">
        <f>VLOOKUP(N76,Table2[],3,0)</f>
        <v>Long</v>
      </c>
      <c r="Z76">
        <f>_xlfn.XLOOKUP(N76,Table2[Supplier name],Table2[Reliability score],"not found")</f>
        <v>5</v>
      </c>
      <c r="AA76">
        <f t="shared" si="2"/>
        <v>2.7791935115711599</v>
      </c>
      <c r="AB76">
        <f t="shared" si="3"/>
        <v>2.7791935115711599</v>
      </c>
    </row>
    <row r="77" spans="1:28">
      <c r="A77" t="s">
        <v>33</v>
      </c>
      <c r="B77" t="s">
        <v>129</v>
      </c>
      <c r="C77" s="1">
        <v>92.996884233970604</v>
      </c>
      <c r="D77">
        <v>29</v>
      </c>
      <c r="E77">
        <v>106</v>
      </c>
      <c r="F77" s="1">
        <v>1889.07358977933</v>
      </c>
      <c r="G77" t="s">
        <v>26</v>
      </c>
      <c r="H77">
        <v>16</v>
      </c>
      <c r="I77">
        <v>20</v>
      </c>
      <c r="J77">
        <v>56</v>
      </c>
      <c r="K77">
        <v>10</v>
      </c>
      <c r="L77" t="s">
        <v>43</v>
      </c>
      <c r="M77">
        <v>2.47389776104546</v>
      </c>
      <c r="N77" t="s">
        <v>39</v>
      </c>
      <c r="O77" t="s">
        <v>62</v>
      </c>
      <c r="P77">
        <v>25</v>
      </c>
      <c r="Q77">
        <v>759</v>
      </c>
      <c r="R77">
        <v>11</v>
      </c>
      <c r="S77">
        <v>48.064782640006499</v>
      </c>
      <c r="T77" t="s">
        <v>64</v>
      </c>
      <c r="U77">
        <v>2.0300690886687498</v>
      </c>
      <c r="V77" t="s">
        <v>40</v>
      </c>
      <c r="W77" t="s">
        <v>41</v>
      </c>
      <c r="X77">
        <v>873.12964801765099</v>
      </c>
      <c r="Y77" t="str">
        <f>VLOOKUP(N77,Table2[],3,0)</f>
        <v>Short</v>
      </c>
      <c r="Z77">
        <f>_xlfn.XLOOKUP(N77,Table2[Supplier name],Table2[Reliability score],"not found")</f>
        <v>8</v>
      </c>
      <c r="AA77">
        <f t="shared" si="2"/>
        <v>4.5805926191992201</v>
      </c>
      <c r="AB77">
        <f t="shared" si="3"/>
        <v>4.5805926191992201</v>
      </c>
    </row>
    <row r="78" spans="1:28">
      <c r="A78" t="s">
        <v>24</v>
      </c>
      <c r="B78" t="s">
        <v>130</v>
      </c>
      <c r="C78" s="1">
        <v>69.108799547430294</v>
      </c>
      <c r="D78">
        <v>23</v>
      </c>
      <c r="E78">
        <v>241</v>
      </c>
      <c r="F78" s="1">
        <v>5328.3759842977497</v>
      </c>
      <c r="G78" t="s">
        <v>55</v>
      </c>
      <c r="H78">
        <v>38</v>
      </c>
      <c r="I78">
        <v>1</v>
      </c>
      <c r="J78">
        <v>22</v>
      </c>
      <c r="K78">
        <v>10</v>
      </c>
      <c r="L78" t="s">
        <v>36</v>
      </c>
      <c r="M78">
        <v>7.0545383368369201</v>
      </c>
      <c r="N78" t="s">
        <v>61</v>
      </c>
      <c r="O78" t="s">
        <v>53</v>
      </c>
      <c r="P78">
        <v>25</v>
      </c>
      <c r="Q78">
        <v>985</v>
      </c>
      <c r="R78">
        <v>24</v>
      </c>
      <c r="S78">
        <v>64.323597795600193</v>
      </c>
      <c r="T78" t="s">
        <v>30</v>
      </c>
      <c r="U78">
        <v>2.1800374515822099</v>
      </c>
      <c r="V78" t="s">
        <v>47</v>
      </c>
      <c r="W78" t="s">
        <v>48</v>
      </c>
      <c r="X78">
        <v>997.41345013319403</v>
      </c>
      <c r="Y78" t="str">
        <f>VLOOKUP(N78,Table2[],3,0)</f>
        <v>Medium</v>
      </c>
      <c r="Z78">
        <f>_xlfn.XLOOKUP(N78,Table2[Supplier name],Table2[Reliability score],"not found")</f>
        <v>6</v>
      </c>
      <c r="AA78">
        <f t="shared" si="2"/>
        <v>3.8446144787675798</v>
      </c>
      <c r="AB78">
        <f t="shared" si="3"/>
        <v>3.8446144787675798</v>
      </c>
    </row>
    <row r="79" spans="1:28">
      <c r="A79" t="s">
        <v>24</v>
      </c>
      <c r="B79" t="s">
        <v>131</v>
      </c>
      <c r="C79" s="1">
        <v>57.449742958971399</v>
      </c>
      <c r="D79">
        <v>14</v>
      </c>
      <c r="E79">
        <v>359</v>
      </c>
      <c r="F79" s="1">
        <v>2483.7601775427902</v>
      </c>
      <c r="G79" t="s">
        <v>38</v>
      </c>
      <c r="H79">
        <v>96</v>
      </c>
      <c r="I79">
        <v>28</v>
      </c>
      <c r="J79">
        <v>57</v>
      </c>
      <c r="K79">
        <v>4</v>
      </c>
      <c r="L79" t="s">
        <v>27</v>
      </c>
      <c r="M79">
        <v>6.7809466256178901</v>
      </c>
      <c r="N79" t="s">
        <v>39</v>
      </c>
      <c r="O79" t="s">
        <v>45</v>
      </c>
      <c r="P79">
        <v>26</v>
      </c>
      <c r="Q79">
        <v>334</v>
      </c>
      <c r="R79">
        <v>5</v>
      </c>
      <c r="S79">
        <v>42.952444748991802</v>
      </c>
      <c r="T79" t="s">
        <v>64</v>
      </c>
      <c r="U79">
        <v>3.0551418183075398</v>
      </c>
      <c r="V79" t="s">
        <v>31</v>
      </c>
      <c r="W79" t="s">
        <v>32</v>
      </c>
      <c r="X79">
        <v>852.56809891984994</v>
      </c>
      <c r="Y79" t="str">
        <f>VLOOKUP(N79,Table2[],3,0)</f>
        <v>Short</v>
      </c>
      <c r="Z79">
        <f>_xlfn.XLOOKUP(N79,Table2[Supplier name],Table2[Reliability score],"not found")</f>
        <v>8</v>
      </c>
      <c r="AA79">
        <f t="shared" si="2"/>
        <v>4.5805926191992201</v>
      </c>
      <c r="AB79">
        <f t="shared" si="3"/>
        <v>4.5805926191992201</v>
      </c>
    </row>
    <row r="80" spans="1:28">
      <c r="A80" t="s">
        <v>24</v>
      </c>
      <c r="B80" t="s">
        <v>132</v>
      </c>
      <c r="C80" s="1">
        <v>6.30688317611191</v>
      </c>
      <c r="D80">
        <v>50</v>
      </c>
      <c r="E80">
        <v>946</v>
      </c>
      <c r="F80" s="1">
        <v>1292.45841793775</v>
      </c>
      <c r="G80" t="s">
        <v>38</v>
      </c>
      <c r="H80">
        <v>5</v>
      </c>
      <c r="I80">
        <v>4</v>
      </c>
      <c r="J80">
        <v>51</v>
      </c>
      <c r="K80">
        <v>5</v>
      </c>
      <c r="L80" t="s">
        <v>27</v>
      </c>
      <c r="M80">
        <v>8.4670497708619905</v>
      </c>
      <c r="N80" t="s">
        <v>44</v>
      </c>
      <c r="O80" t="s">
        <v>29</v>
      </c>
      <c r="P80">
        <v>25</v>
      </c>
      <c r="Q80">
        <v>858</v>
      </c>
      <c r="R80">
        <v>21</v>
      </c>
      <c r="S80">
        <v>71.126514720403307</v>
      </c>
      <c r="T80" t="s">
        <v>30</v>
      </c>
      <c r="U80">
        <v>4.0968813324704501</v>
      </c>
      <c r="V80" t="s">
        <v>56</v>
      </c>
      <c r="W80" t="s">
        <v>41</v>
      </c>
      <c r="X80">
        <v>323.59220343132199</v>
      </c>
      <c r="Y80" t="str">
        <f>VLOOKUP(N80,Table2[],3,0)</f>
        <v>Medium</v>
      </c>
      <c r="Z80">
        <f>_xlfn.XLOOKUP(N80,Table2[Supplier name],Table2[Reliability score],"not found")</f>
        <v>7</v>
      </c>
      <c r="AA80">
        <f t="shared" si="2"/>
        <v>4.7466486206477496</v>
      </c>
      <c r="AB80">
        <f t="shared" si="3"/>
        <v>4.7466486206477496</v>
      </c>
    </row>
    <row r="81" spans="1:28">
      <c r="A81" t="s">
        <v>24</v>
      </c>
      <c r="B81" t="s">
        <v>133</v>
      </c>
      <c r="C81" s="1">
        <v>57.057031221103202</v>
      </c>
      <c r="D81">
        <v>56</v>
      </c>
      <c r="E81">
        <v>198</v>
      </c>
      <c r="F81" s="1">
        <v>7888.7232684270803</v>
      </c>
      <c r="G81" t="s">
        <v>26</v>
      </c>
      <c r="H81">
        <v>31</v>
      </c>
      <c r="I81">
        <v>25</v>
      </c>
      <c r="J81">
        <v>20</v>
      </c>
      <c r="K81">
        <v>1</v>
      </c>
      <c r="L81" t="s">
        <v>27</v>
      </c>
      <c r="M81">
        <v>6.49632536429504</v>
      </c>
      <c r="N81" t="s">
        <v>28</v>
      </c>
      <c r="O81" t="s">
        <v>53</v>
      </c>
      <c r="P81">
        <v>5</v>
      </c>
      <c r="Q81">
        <v>228</v>
      </c>
      <c r="R81">
        <v>12</v>
      </c>
      <c r="S81">
        <v>57.870902924036201</v>
      </c>
      <c r="T81" t="s">
        <v>30</v>
      </c>
      <c r="U81">
        <v>0.16587162748060799</v>
      </c>
      <c r="V81" t="s">
        <v>40</v>
      </c>
      <c r="W81" t="s">
        <v>41</v>
      </c>
      <c r="X81">
        <v>351.50421933503799</v>
      </c>
      <c r="Y81" t="str">
        <f>VLOOKUP(N81,Table2[],3,0)</f>
        <v>Short</v>
      </c>
      <c r="Z81">
        <f>_xlfn.XLOOKUP(N81,Table2[Supplier name],Table2[Reliability score],"not found")</f>
        <v>9</v>
      </c>
      <c r="AA81">
        <f t="shared" si="2"/>
        <v>0.226410360849925</v>
      </c>
      <c r="AB81">
        <f t="shared" si="3"/>
        <v>0.226410360849925</v>
      </c>
    </row>
    <row r="82" spans="1:28">
      <c r="A82" t="s">
        <v>33</v>
      </c>
      <c r="B82" t="s">
        <v>134</v>
      </c>
      <c r="C82" s="1">
        <v>91.128318350444303</v>
      </c>
      <c r="D82">
        <v>75</v>
      </c>
      <c r="E82">
        <v>872</v>
      </c>
      <c r="F82" s="1">
        <v>8651.67268298206</v>
      </c>
      <c r="G82" t="s">
        <v>38</v>
      </c>
      <c r="H82">
        <v>39</v>
      </c>
      <c r="I82">
        <v>14</v>
      </c>
      <c r="J82">
        <v>41</v>
      </c>
      <c r="K82">
        <v>2</v>
      </c>
      <c r="L82" t="s">
        <v>43</v>
      </c>
      <c r="M82">
        <v>2.8331846794189701</v>
      </c>
      <c r="N82" t="s">
        <v>28</v>
      </c>
      <c r="O82" t="s">
        <v>62</v>
      </c>
      <c r="P82">
        <v>8</v>
      </c>
      <c r="Q82">
        <v>202</v>
      </c>
      <c r="R82">
        <v>5</v>
      </c>
      <c r="S82">
        <v>76.961228023819999</v>
      </c>
      <c r="T82" t="s">
        <v>46</v>
      </c>
      <c r="U82">
        <v>2.8496621985053299</v>
      </c>
      <c r="V82" t="s">
        <v>56</v>
      </c>
      <c r="W82" t="s">
        <v>32</v>
      </c>
      <c r="X82">
        <v>787.77985049434403</v>
      </c>
      <c r="Y82" t="str">
        <f>VLOOKUP(N82,Table2[],3,0)</f>
        <v>Short</v>
      </c>
      <c r="Z82">
        <f>_xlfn.XLOOKUP(N82,Table2[Supplier name],Table2[Reliability score],"not found")</f>
        <v>9</v>
      </c>
      <c r="AA82">
        <f t="shared" si="2"/>
        <v>0.226410360849925</v>
      </c>
      <c r="AB82">
        <f t="shared" si="3"/>
        <v>0.226410360849925</v>
      </c>
    </row>
    <row r="83" spans="1:28">
      <c r="A83" t="s">
        <v>24</v>
      </c>
      <c r="B83" t="s">
        <v>135</v>
      </c>
      <c r="C83" s="1">
        <v>72.819206930318202</v>
      </c>
      <c r="D83">
        <v>9</v>
      </c>
      <c r="E83">
        <v>774</v>
      </c>
      <c r="F83" s="1">
        <v>4384.4134000458598</v>
      </c>
      <c r="G83" t="s">
        <v>38</v>
      </c>
      <c r="H83">
        <v>48</v>
      </c>
      <c r="I83">
        <v>6</v>
      </c>
      <c r="J83">
        <v>8</v>
      </c>
      <c r="K83">
        <v>5</v>
      </c>
      <c r="L83" t="s">
        <v>27</v>
      </c>
      <c r="M83">
        <v>4.0662775015120403</v>
      </c>
      <c r="N83" t="s">
        <v>28</v>
      </c>
      <c r="O83" t="s">
        <v>50</v>
      </c>
      <c r="P83">
        <v>28</v>
      </c>
      <c r="Q83">
        <v>698</v>
      </c>
      <c r="R83">
        <v>1</v>
      </c>
      <c r="S83">
        <v>19.789592941903599</v>
      </c>
      <c r="T83" t="s">
        <v>30</v>
      </c>
      <c r="U83">
        <v>2.54754712154871</v>
      </c>
      <c r="V83" t="s">
        <v>47</v>
      </c>
      <c r="W83" t="s">
        <v>32</v>
      </c>
      <c r="X83">
        <v>276.77833594679799</v>
      </c>
      <c r="Y83" t="str">
        <f>VLOOKUP(N83,Table2[],3,0)</f>
        <v>Short</v>
      </c>
      <c r="Z83">
        <f>_xlfn.XLOOKUP(N83,Table2[Supplier name],Table2[Reliability score],"not found")</f>
        <v>9</v>
      </c>
      <c r="AA83">
        <f t="shared" si="2"/>
        <v>0.226410360849925</v>
      </c>
      <c r="AB83">
        <f t="shared" si="3"/>
        <v>0.226410360849925</v>
      </c>
    </row>
    <row r="84" spans="1:28">
      <c r="A84" t="s">
        <v>33</v>
      </c>
      <c r="B84" t="s">
        <v>136</v>
      </c>
      <c r="C84" s="1">
        <v>17.034930739467899</v>
      </c>
      <c r="D84">
        <v>13</v>
      </c>
      <c r="E84">
        <v>336</v>
      </c>
      <c r="F84" s="1">
        <v>2943.3818676094502</v>
      </c>
      <c r="G84" t="s">
        <v>38</v>
      </c>
      <c r="H84">
        <v>42</v>
      </c>
      <c r="I84">
        <v>19</v>
      </c>
      <c r="J84">
        <v>72</v>
      </c>
      <c r="K84">
        <v>1</v>
      </c>
      <c r="L84" t="s">
        <v>36</v>
      </c>
      <c r="M84">
        <v>4.7081818735419301</v>
      </c>
      <c r="N84" t="s">
        <v>61</v>
      </c>
      <c r="O84" t="s">
        <v>29</v>
      </c>
      <c r="P84">
        <v>6</v>
      </c>
      <c r="Q84">
        <v>955</v>
      </c>
      <c r="R84">
        <v>26</v>
      </c>
      <c r="S84">
        <v>4.4652784349432402</v>
      </c>
      <c r="T84" t="s">
        <v>30</v>
      </c>
      <c r="U84">
        <v>4.1378770486223502</v>
      </c>
      <c r="V84" t="s">
        <v>31</v>
      </c>
      <c r="W84" t="s">
        <v>41</v>
      </c>
      <c r="X84">
        <v>589.97855562804</v>
      </c>
      <c r="Y84" t="str">
        <f>VLOOKUP(N84,Table2[],3,0)</f>
        <v>Medium</v>
      </c>
      <c r="Z84">
        <f>_xlfn.XLOOKUP(N84,Table2[Supplier name],Table2[Reliability score],"not found")</f>
        <v>6</v>
      </c>
      <c r="AA84">
        <f t="shared" si="2"/>
        <v>3.8446144787675798</v>
      </c>
      <c r="AB84">
        <f t="shared" si="3"/>
        <v>3.8446144787675798</v>
      </c>
    </row>
    <row r="85" spans="1:28">
      <c r="A85" t="s">
        <v>24</v>
      </c>
      <c r="B85" t="s">
        <v>137</v>
      </c>
      <c r="C85" s="1">
        <v>68.911246211606297</v>
      </c>
      <c r="D85">
        <v>82</v>
      </c>
      <c r="E85">
        <v>663</v>
      </c>
      <c r="F85" s="1">
        <v>2411.7546321104901</v>
      </c>
      <c r="G85" t="s">
        <v>38</v>
      </c>
      <c r="H85">
        <v>65</v>
      </c>
      <c r="I85">
        <v>24</v>
      </c>
      <c r="J85">
        <v>7</v>
      </c>
      <c r="K85">
        <v>8</v>
      </c>
      <c r="L85" t="s">
        <v>27</v>
      </c>
      <c r="M85">
        <v>4.94983957799694</v>
      </c>
      <c r="N85" t="s">
        <v>39</v>
      </c>
      <c r="O85" t="s">
        <v>53</v>
      </c>
      <c r="P85">
        <v>20</v>
      </c>
      <c r="Q85">
        <v>443</v>
      </c>
      <c r="R85">
        <v>5</v>
      </c>
      <c r="S85">
        <v>97.730593800533001</v>
      </c>
      <c r="T85" t="s">
        <v>46</v>
      </c>
      <c r="U85">
        <v>0.77300613406724705</v>
      </c>
      <c r="V85" t="s">
        <v>31</v>
      </c>
      <c r="W85" t="s">
        <v>48</v>
      </c>
      <c r="X85">
        <v>682.97101822609295</v>
      </c>
      <c r="Y85" t="str">
        <f>VLOOKUP(N85,Table2[],3,0)</f>
        <v>Short</v>
      </c>
      <c r="Z85">
        <f>_xlfn.XLOOKUP(N85,Table2[Supplier name],Table2[Reliability score],"not found")</f>
        <v>8</v>
      </c>
      <c r="AA85">
        <f t="shared" si="2"/>
        <v>4.5805926191992201</v>
      </c>
      <c r="AB85">
        <f t="shared" si="3"/>
        <v>4.5805926191992201</v>
      </c>
    </row>
    <row r="86" spans="1:28">
      <c r="A86" t="s">
        <v>24</v>
      </c>
      <c r="B86" t="s">
        <v>138</v>
      </c>
      <c r="C86" s="1">
        <v>89.104367292102197</v>
      </c>
      <c r="D86">
        <v>99</v>
      </c>
      <c r="E86">
        <v>618</v>
      </c>
      <c r="F86" s="1">
        <v>2048.2900998487098</v>
      </c>
      <c r="G86" t="s">
        <v>38</v>
      </c>
      <c r="H86">
        <v>73</v>
      </c>
      <c r="I86">
        <v>26</v>
      </c>
      <c r="J86">
        <v>80</v>
      </c>
      <c r="K86">
        <v>10</v>
      </c>
      <c r="L86" t="s">
        <v>36</v>
      </c>
      <c r="M86">
        <v>8.3816156249226292</v>
      </c>
      <c r="N86" t="s">
        <v>44</v>
      </c>
      <c r="O86" t="s">
        <v>62</v>
      </c>
      <c r="P86">
        <v>24</v>
      </c>
      <c r="Q86">
        <v>589</v>
      </c>
      <c r="R86">
        <v>22</v>
      </c>
      <c r="S86">
        <v>33.808636513209002</v>
      </c>
      <c r="T86" t="s">
        <v>64</v>
      </c>
      <c r="U86">
        <v>4.8434565771180402</v>
      </c>
      <c r="V86" t="s">
        <v>40</v>
      </c>
      <c r="W86" t="s">
        <v>32</v>
      </c>
      <c r="X86">
        <v>465.45700596368698</v>
      </c>
      <c r="Y86" t="str">
        <f>VLOOKUP(N86,Table2[],3,0)</f>
        <v>Medium</v>
      </c>
      <c r="Z86">
        <f>_xlfn.XLOOKUP(N86,Table2[Supplier name],Table2[Reliability score],"not found")</f>
        <v>7</v>
      </c>
      <c r="AA86">
        <f t="shared" si="2"/>
        <v>4.7466486206477496</v>
      </c>
      <c r="AB86">
        <f t="shared" si="3"/>
        <v>4.7466486206477496</v>
      </c>
    </row>
    <row r="87" spans="1:28">
      <c r="A87" t="s">
        <v>57</v>
      </c>
      <c r="B87" t="s">
        <v>139</v>
      </c>
      <c r="C87" s="1">
        <v>76.962994415193805</v>
      </c>
      <c r="D87">
        <v>83</v>
      </c>
      <c r="E87">
        <v>25</v>
      </c>
      <c r="F87" s="1">
        <v>8684.6130592538502</v>
      </c>
      <c r="G87" t="s">
        <v>35</v>
      </c>
      <c r="H87">
        <v>15</v>
      </c>
      <c r="I87">
        <v>18</v>
      </c>
      <c r="J87">
        <v>66</v>
      </c>
      <c r="K87">
        <v>2</v>
      </c>
      <c r="L87" t="s">
        <v>43</v>
      </c>
      <c r="M87">
        <v>8.2491687048717193</v>
      </c>
      <c r="N87" t="s">
        <v>44</v>
      </c>
      <c r="O87" t="s">
        <v>62</v>
      </c>
      <c r="P87">
        <v>4</v>
      </c>
      <c r="Q87">
        <v>211</v>
      </c>
      <c r="R87">
        <v>2</v>
      </c>
      <c r="S87">
        <v>69.929345518672307</v>
      </c>
      <c r="T87" t="s">
        <v>46</v>
      </c>
      <c r="U87">
        <v>1.3744289997457499</v>
      </c>
      <c r="V87" t="s">
        <v>31</v>
      </c>
      <c r="W87" t="s">
        <v>32</v>
      </c>
      <c r="X87">
        <v>842.68683000464102</v>
      </c>
      <c r="Y87" t="str">
        <f>VLOOKUP(N87,Table2[],3,0)</f>
        <v>Medium</v>
      </c>
      <c r="Z87">
        <f>_xlfn.XLOOKUP(N87,Table2[Supplier name],Table2[Reliability score],"not found")</f>
        <v>7</v>
      </c>
      <c r="AA87">
        <f t="shared" si="2"/>
        <v>4.7466486206477496</v>
      </c>
      <c r="AB87">
        <f t="shared" si="3"/>
        <v>4.7466486206477496</v>
      </c>
    </row>
    <row r="88" spans="1:28">
      <c r="A88" t="s">
        <v>33</v>
      </c>
      <c r="B88" t="s">
        <v>140</v>
      </c>
      <c r="C88" s="1">
        <v>19.9981769404042</v>
      </c>
      <c r="D88">
        <v>18</v>
      </c>
      <c r="E88">
        <v>223</v>
      </c>
      <c r="F88" s="1">
        <v>1229.59102856498</v>
      </c>
      <c r="G88" t="s">
        <v>38</v>
      </c>
      <c r="H88">
        <v>32</v>
      </c>
      <c r="I88">
        <v>14</v>
      </c>
      <c r="J88">
        <v>22</v>
      </c>
      <c r="K88">
        <v>6</v>
      </c>
      <c r="L88" t="s">
        <v>27</v>
      </c>
      <c r="M88">
        <v>1.4543053101535499</v>
      </c>
      <c r="N88" t="s">
        <v>39</v>
      </c>
      <c r="O88" t="s">
        <v>29</v>
      </c>
      <c r="P88">
        <v>4</v>
      </c>
      <c r="Q88">
        <v>569</v>
      </c>
      <c r="R88">
        <v>18</v>
      </c>
      <c r="S88">
        <v>74.608969995194599</v>
      </c>
      <c r="T88" t="s">
        <v>64</v>
      </c>
      <c r="U88">
        <v>2.0515129307662399</v>
      </c>
      <c r="V88" t="s">
        <v>47</v>
      </c>
      <c r="W88" t="s">
        <v>48</v>
      </c>
      <c r="X88">
        <v>264.25488983586598</v>
      </c>
      <c r="Y88" t="str">
        <f>VLOOKUP(N88,Table2[],3,0)</f>
        <v>Short</v>
      </c>
      <c r="Z88">
        <f>_xlfn.XLOOKUP(N88,Table2[Supplier name],Table2[Reliability score],"not found")</f>
        <v>8</v>
      </c>
      <c r="AA88">
        <f t="shared" si="2"/>
        <v>4.5805926191992201</v>
      </c>
      <c r="AB88">
        <f t="shared" si="3"/>
        <v>4.5805926191992201</v>
      </c>
    </row>
    <row r="89" spans="1:28">
      <c r="A89" t="s">
        <v>24</v>
      </c>
      <c r="B89" t="s">
        <v>141</v>
      </c>
      <c r="C89" s="1">
        <v>80.414036650355698</v>
      </c>
      <c r="D89">
        <v>24</v>
      </c>
      <c r="E89">
        <v>79</v>
      </c>
      <c r="F89" s="1">
        <v>5133.8467010866898</v>
      </c>
      <c r="G89" t="s">
        <v>55</v>
      </c>
      <c r="H89">
        <v>5</v>
      </c>
      <c r="I89">
        <v>7</v>
      </c>
      <c r="J89">
        <v>55</v>
      </c>
      <c r="K89">
        <v>10</v>
      </c>
      <c r="L89" t="s">
        <v>36</v>
      </c>
      <c r="M89">
        <v>6.5758037975485299</v>
      </c>
      <c r="N89" t="s">
        <v>28</v>
      </c>
      <c r="O89" t="s">
        <v>62</v>
      </c>
      <c r="P89">
        <v>27</v>
      </c>
      <c r="Q89">
        <v>523</v>
      </c>
      <c r="R89">
        <v>17</v>
      </c>
      <c r="S89">
        <v>28.696996824143099</v>
      </c>
      <c r="T89" t="s">
        <v>46</v>
      </c>
      <c r="U89">
        <v>3.6937377878392699</v>
      </c>
      <c r="V89" t="s">
        <v>56</v>
      </c>
      <c r="W89" t="s">
        <v>32</v>
      </c>
      <c r="X89">
        <v>879.35921773492396</v>
      </c>
      <c r="Y89" t="str">
        <f>VLOOKUP(N89,Table2[],3,0)</f>
        <v>Short</v>
      </c>
      <c r="Z89">
        <f>_xlfn.XLOOKUP(N89,Table2[Supplier name],Table2[Reliability score],"not found")</f>
        <v>9</v>
      </c>
      <c r="AA89">
        <f t="shared" si="2"/>
        <v>0.226410360849925</v>
      </c>
      <c r="AB89">
        <f t="shared" si="3"/>
        <v>0.226410360849925</v>
      </c>
    </row>
    <row r="90" spans="1:28">
      <c r="A90" t="s">
        <v>57</v>
      </c>
      <c r="B90" t="s">
        <v>142</v>
      </c>
      <c r="C90" s="1">
        <v>75.270406975724995</v>
      </c>
      <c r="D90">
        <v>58</v>
      </c>
      <c r="E90">
        <v>737</v>
      </c>
      <c r="F90" s="1">
        <v>9444.7420330629793</v>
      </c>
      <c r="G90" t="s">
        <v>55</v>
      </c>
      <c r="H90">
        <v>60</v>
      </c>
      <c r="I90">
        <v>18</v>
      </c>
      <c r="J90">
        <v>85</v>
      </c>
      <c r="K90">
        <v>7</v>
      </c>
      <c r="L90" t="s">
        <v>36</v>
      </c>
      <c r="M90">
        <v>3.8012531329310701</v>
      </c>
      <c r="N90" t="s">
        <v>61</v>
      </c>
      <c r="O90" t="s">
        <v>29</v>
      </c>
      <c r="P90">
        <v>21</v>
      </c>
      <c r="Q90">
        <v>953</v>
      </c>
      <c r="R90">
        <v>11</v>
      </c>
      <c r="S90">
        <v>68.1849190570411</v>
      </c>
      <c r="T90" t="s">
        <v>30</v>
      </c>
      <c r="U90">
        <v>0.722204401882931</v>
      </c>
      <c r="V90" t="s">
        <v>56</v>
      </c>
      <c r="W90" t="s">
        <v>48</v>
      </c>
      <c r="X90">
        <v>103.916247960704</v>
      </c>
      <c r="Y90" t="str">
        <f>VLOOKUP(N90,Table2[],3,0)</f>
        <v>Medium</v>
      </c>
      <c r="Z90">
        <f>_xlfn.XLOOKUP(N90,Table2[Supplier name],Table2[Reliability score],"not found")</f>
        <v>6</v>
      </c>
      <c r="AA90">
        <f t="shared" si="2"/>
        <v>3.8446144787675798</v>
      </c>
      <c r="AB90">
        <f t="shared" si="3"/>
        <v>3.8446144787675798</v>
      </c>
    </row>
    <row r="91" spans="1:28">
      <c r="A91" t="s">
        <v>57</v>
      </c>
      <c r="B91" t="s">
        <v>143</v>
      </c>
      <c r="C91" s="1">
        <v>97.760085581938597</v>
      </c>
      <c r="D91">
        <v>10</v>
      </c>
      <c r="E91">
        <v>134</v>
      </c>
      <c r="F91" s="1">
        <v>5924.6825668532301</v>
      </c>
      <c r="G91" t="s">
        <v>38</v>
      </c>
      <c r="H91">
        <v>90</v>
      </c>
      <c r="I91">
        <v>1</v>
      </c>
      <c r="J91">
        <v>27</v>
      </c>
      <c r="K91">
        <v>8</v>
      </c>
      <c r="L91" t="s">
        <v>27</v>
      </c>
      <c r="M91">
        <v>9.9298162452772498</v>
      </c>
      <c r="N91" t="s">
        <v>39</v>
      </c>
      <c r="O91" t="s">
        <v>45</v>
      </c>
      <c r="P91">
        <v>23</v>
      </c>
      <c r="Q91">
        <v>370</v>
      </c>
      <c r="R91">
        <v>11</v>
      </c>
      <c r="S91">
        <v>46.603873381644398</v>
      </c>
      <c r="T91" t="s">
        <v>30</v>
      </c>
      <c r="U91">
        <v>1.9076657339590699</v>
      </c>
      <c r="V91" t="s">
        <v>47</v>
      </c>
      <c r="W91" t="s">
        <v>32</v>
      </c>
      <c r="X91">
        <v>517.49997392906005</v>
      </c>
      <c r="Y91" t="str">
        <f>VLOOKUP(N91,Table2[],3,0)</f>
        <v>Short</v>
      </c>
      <c r="Z91">
        <f>_xlfn.XLOOKUP(N91,Table2[Supplier name],Table2[Reliability score],"not found")</f>
        <v>8</v>
      </c>
      <c r="AA91">
        <f t="shared" si="2"/>
        <v>4.5805926191992201</v>
      </c>
      <c r="AB91">
        <f t="shared" si="3"/>
        <v>4.5805926191992201</v>
      </c>
    </row>
    <row r="92" spans="1:28">
      <c r="A92" t="s">
        <v>33</v>
      </c>
      <c r="B92" t="s">
        <v>144</v>
      </c>
      <c r="C92" s="1">
        <v>13.881913501359101</v>
      </c>
      <c r="D92">
        <v>56</v>
      </c>
      <c r="E92">
        <v>320</v>
      </c>
      <c r="F92" s="1">
        <v>9592.6335702803099</v>
      </c>
      <c r="G92" t="s">
        <v>26</v>
      </c>
      <c r="H92">
        <v>66</v>
      </c>
      <c r="I92">
        <v>18</v>
      </c>
      <c r="J92">
        <v>96</v>
      </c>
      <c r="K92">
        <v>7</v>
      </c>
      <c r="L92" t="s">
        <v>27</v>
      </c>
      <c r="M92">
        <v>7.6744307081126903</v>
      </c>
      <c r="N92" t="s">
        <v>28</v>
      </c>
      <c r="O92" t="s">
        <v>53</v>
      </c>
      <c r="P92">
        <v>8</v>
      </c>
      <c r="Q92">
        <v>585</v>
      </c>
      <c r="R92">
        <v>8</v>
      </c>
      <c r="S92">
        <v>85.675963335797903</v>
      </c>
      <c r="T92" t="s">
        <v>64</v>
      </c>
      <c r="U92">
        <v>1.2193822244013801</v>
      </c>
      <c r="V92" t="s">
        <v>47</v>
      </c>
      <c r="W92" t="s">
        <v>32</v>
      </c>
      <c r="X92">
        <v>990.07847250581096</v>
      </c>
      <c r="Y92" t="str">
        <f>VLOOKUP(N92,Table2[],3,0)</f>
        <v>Short</v>
      </c>
      <c r="Z92">
        <f>_xlfn.XLOOKUP(N92,Table2[Supplier name],Table2[Reliability score],"not found")</f>
        <v>9</v>
      </c>
      <c r="AA92">
        <f t="shared" si="2"/>
        <v>0.226410360849925</v>
      </c>
      <c r="AB92">
        <f t="shared" si="3"/>
        <v>0.226410360849925</v>
      </c>
    </row>
    <row r="93" spans="1:28">
      <c r="A93" t="s">
        <v>57</v>
      </c>
      <c r="B93" t="s">
        <v>145</v>
      </c>
      <c r="C93" s="1">
        <v>62.111965463961702</v>
      </c>
      <c r="D93">
        <v>90</v>
      </c>
      <c r="E93">
        <v>916</v>
      </c>
      <c r="F93" s="1">
        <v>1935.20679350759</v>
      </c>
      <c r="G93" t="s">
        <v>55</v>
      </c>
      <c r="H93">
        <v>98</v>
      </c>
      <c r="I93">
        <v>22</v>
      </c>
      <c r="J93">
        <v>85</v>
      </c>
      <c r="K93">
        <v>7</v>
      </c>
      <c r="L93" t="s">
        <v>27</v>
      </c>
      <c r="M93">
        <v>7.4715140844011403</v>
      </c>
      <c r="N93" t="s">
        <v>52</v>
      </c>
      <c r="O93" t="s">
        <v>50</v>
      </c>
      <c r="P93">
        <v>5</v>
      </c>
      <c r="Q93">
        <v>207</v>
      </c>
      <c r="R93">
        <v>28</v>
      </c>
      <c r="S93">
        <v>39.772882502339897</v>
      </c>
      <c r="T93" t="s">
        <v>30</v>
      </c>
      <c r="U93">
        <v>0.62600185820939402</v>
      </c>
      <c r="V93" t="s">
        <v>47</v>
      </c>
      <c r="W93" t="s">
        <v>32</v>
      </c>
      <c r="X93">
        <v>996.77831495062298</v>
      </c>
      <c r="Y93" t="str">
        <f>VLOOKUP(N93,Table2[],3,0)</f>
        <v>Long</v>
      </c>
      <c r="Z93">
        <f>_xlfn.XLOOKUP(N93,Table2[Supplier name],Table2[Reliability score],"not found")</f>
        <v>5</v>
      </c>
      <c r="AA93">
        <f t="shared" si="2"/>
        <v>2.7791935115711599</v>
      </c>
      <c r="AB93">
        <f t="shared" si="3"/>
        <v>2.7791935115711599</v>
      </c>
    </row>
    <row r="94" spans="1:28">
      <c r="A94" t="s">
        <v>57</v>
      </c>
      <c r="B94" t="s">
        <v>146</v>
      </c>
      <c r="C94" s="1">
        <v>47.714233075820196</v>
      </c>
      <c r="D94">
        <v>44</v>
      </c>
      <c r="E94">
        <v>276</v>
      </c>
      <c r="F94" s="1">
        <v>2100.1297546259302</v>
      </c>
      <c r="G94" t="s">
        <v>55</v>
      </c>
      <c r="H94">
        <v>90</v>
      </c>
      <c r="I94">
        <v>25</v>
      </c>
      <c r="J94">
        <v>10</v>
      </c>
      <c r="K94">
        <v>8</v>
      </c>
      <c r="L94" t="s">
        <v>27</v>
      </c>
      <c r="M94">
        <v>4.4695000261236002</v>
      </c>
      <c r="N94" t="s">
        <v>61</v>
      </c>
      <c r="O94" t="s">
        <v>29</v>
      </c>
      <c r="P94">
        <v>4</v>
      </c>
      <c r="Q94">
        <v>671</v>
      </c>
      <c r="R94">
        <v>29</v>
      </c>
      <c r="S94">
        <v>62.612690395614301</v>
      </c>
      <c r="T94" t="s">
        <v>64</v>
      </c>
      <c r="U94">
        <v>0.33343182522473902</v>
      </c>
      <c r="V94" t="s">
        <v>47</v>
      </c>
      <c r="W94" t="s">
        <v>32</v>
      </c>
      <c r="X94">
        <v>230.092782536762</v>
      </c>
      <c r="Y94" t="str">
        <f>VLOOKUP(N94,Table2[],3,0)</f>
        <v>Medium</v>
      </c>
      <c r="Z94">
        <f>_xlfn.XLOOKUP(N94,Table2[Supplier name],Table2[Reliability score],"not found")</f>
        <v>6</v>
      </c>
      <c r="AA94">
        <f t="shared" si="2"/>
        <v>3.8446144787675798</v>
      </c>
      <c r="AB94">
        <f t="shared" si="3"/>
        <v>3.8446144787675798</v>
      </c>
    </row>
    <row r="95" spans="1:28">
      <c r="A95" t="s">
        <v>24</v>
      </c>
      <c r="B95" t="s">
        <v>147</v>
      </c>
      <c r="C95" s="1">
        <v>69.290831002905406</v>
      </c>
      <c r="D95">
        <v>88</v>
      </c>
      <c r="E95">
        <v>114</v>
      </c>
      <c r="F95" s="1">
        <v>4531.4021336919004</v>
      </c>
      <c r="G95" t="s">
        <v>38</v>
      </c>
      <c r="H95">
        <v>63</v>
      </c>
      <c r="I95">
        <v>17</v>
      </c>
      <c r="J95">
        <v>66</v>
      </c>
      <c r="K95">
        <v>1</v>
      </c>
      <c r="L95" t="s">
        <v>43</v>
      </c>
      <c r="M95">
        <v>7.00643205900439</v>
      </c>
      <c r="N95" t="s">
        <v>52</v>
      </c>
      <c r="O95" t="s">
        <v>62</v>
      </c>
      <c r="P95">
        <v>21</v>
      </c>
      <c r="Q95">
        <v>824</v>
      </c>
      <c r="R95">
        <v>20</v>
      </c>
      <c r="S95">
        <v>35.633652343343797</v>
      </c>
      <c r="T95" t="s">
        <v>46</v>
      </c>
      <c r="U95">
        <v>4.1657817954241398</v>
      </c>
      <c r="V95" t="s">
        <v>40</v>
      </c>
      <c r="W95" t="s">
        <v>48</v>
      </c>
      <c r="X95">
        <v>823.52384588815505</v>
      </c>
      <c r="Y95" t="str">
        <f>VLOOKUP(N95,Table2[],3,0)</f>
        <v>Long</v>
      </c>
      <c r="Z95">
        <f>_xlfn.XLOOKUP(N95,Table2[Supplier name],Table2[Reliability score],"not found")</f>
        <v>5</v>
      </c>
      <c r="AA95">
        <f t="shared" si="2"/>
        <v>2.7791935115711599</v>
      </c>
      <c r="AB95">
        <f t="shared" si="3"/>
        <v>2.7791935115711599</v>
      </c>
    </row>
    <row r="96" spans="1:28">
      <c r="A96" t="s">
        <v>57</v>
      </c>
      <c r="B96" t="s">
        <v>148</v>
      </c>
      <c r="C96" s="1">
        <v>3.0376887246314102</v>
      </c>
      <c r="D96">
        <v>97</v>
      </c>
      <c r="E96">
        <v>987</v>
      </c>
      <c r="F96" s="1">
        <v>7888.3565466618702</v>
      </c>
      <c r="G96" t="s">
        <v>38</v>
      </c>
      <c r="H96">
        <v>77</v>
      </c>
      <c r="I96">
        <v>26</v>
      </c>
      <c r="J96">
        <v>72</v>
      </c>
      <c r="K96">
        <v>9</v>
      </c>
      <c r="L96" t="s">
        <v>27</v>
      </c>
      <c r="M96">
        <v>6.9429459420325799</v>
      </c>
      <c r="N96" t="s">
        <v>61</v>
      </c>
      <c r="O96" t="s">
        <v>50</v>
      </c>
      <c r="P96">
        <v>12</v>
      </c>
      <c r="Q96">
        <v>908</v>
      </c>
      <c r="R96">
        <v>14</v>
      </c>
      <c r="S96">
        <v>60.387378614862101</v>
      </c>
      <c r="T96" t="s">
        <v>64</v>
      </c>
      <c r="U96">
        <v>1.4636074984727701</v>
      </c>
      <c r="V96" t="s">
        <v>47</v>
      </c>
      <c r="W96" t="s">
        <v>32</v>
      </c>
      <c r="X96">
        <v>846.66525698669398</v>
      </c>
      <c r="Y96" t="str">
        <f>VLOOKUP(N96,Table2[],3,0)</f>
        <v>Medium</v>
      </c>
      <c r="Z96">
        <f>_xlfn.XLOOKUP(N96,Table2[Supplier name],Table2[Reliability score],"not found")</f>
        <v>6</v>
      </c>
      <c r="AA96">
        <f t="shared" si="2"/>
        <v>3.8446144787675798</v>
      </c>
      <c r="AB96">
        <f t="shared" si="3"/>
        <v>3.8446144787675798</v>
      </c>
    </row>
    <row r="97" spans="1:28">
      <c r="A97" t="s">
        <v>24</v>
      </c>
      <c r="B97" t="s">
        <v>149</v>
      </c>
      <c r="C97" s="1">
        <v>77.903927219447695</v>
      </c>
      <c r="D97">
        <v>65</v>
      </c>
      <c r="E97">
        <v>672</v>
      </c>
      <c r="F97" s="1">
        <v>7386.3639440486604</v>
      </c>
      <c r="G97" t="s">
        <v>38</v>
      </c>
      <c r="H97">
        <v>15</v>
      </c>
      <c r="I97">
        <v>14</v>
      </c>
      <c r="J97">
        <v>26</v>
      </c>
      <c r="K97">
        <v>9</v>
      </c>
      <c r="L97" t="s">
        <v>27</v>
      </c>
      <c r="M97">
        <v>8.6303388696027508</v>
      </c>
      <c r="N97" t="s">
        <v>52</v>
      </c>
      <c r="O97" t="s">
        <v>29</v>
      </c>
      <c r="P97">
        <v>18</v>
      </c>
      <c r="Q97">
        <v>450</v>
      </c>
      <c r="R97">
        <v>26</v>
      </c>
      <c r="S97">
        <v>58.890685768589897</v>
      </c>
      <c r="T97" t="s">
        <v>30</v>
      </c>
      <c r="U97">
        <v>1.21088212958506</v>
      </c>
      <c r="V97" t="s">
        <v>40</v>
      </c>
      <c r="W97" t="s">
        <v>48</v>
      </c>
      <c r="X97">
        <v>778.86424137664699</v>
      </c>
      <c r="Y97" t="str">
        <f>VLOOKUP(N97,Table2[],3,0)</f>
        <v>Long</v>
      </c>
      <c r="Z97">
        <f>_xlfn.XLOOKUP(N97,Table2[Supplier name],Table2[Reliability score],"not found")</f>
        <v>5</v>
      </c>
      <c r="AA97">
        <f t="shared" si="2"/>
        <v>2.7791935115711599</v>
      </c>
      <c r="AB97">
        <f t="shared" si="3"/>
        <v>2.7791935115711599</v>
      </c>
    </row>
    <row r="98" spans="1:28">
      <c r="A98" t="s">
        <v>57</v>
      </c>
      <c r="B98" t="s">
        <v>150</v>
      </c>
      <c r="C98" s="1">
        <v>24.423131420373299</v>
      </c>
      <c r="D98">
        <v>29</v>
      </c>
      <c r="E98">
        <v>324</v>
      </c>
      <c r="F98" s="1">
        <v>7698.4247656321104</v>
      </c>
      <c r="G98" t="s">
        <v>26</v>
      </c>
      <c r="H98">
        <v>67</v>
      </c>
      <c r="I98">
        <v>2</v>
      </c>
      <c r="J98">
        <v>32</v>
      </c>
      <c r="K98">
        <v>3</v>
      </c>
      <c r="L98" t="s">
        <v>43</v>
      </c>
      <c r="M98">
        <v>5.3528780439967996</v>
      </c>
      <c r="N98" t="s">
        <v>28</v>
      </c>
      <c r="O98" t="s">
        <v>29</v>
      </c>
      <c r="P98">
        <v>28</v>
      </c>
      <c r="Q98">
        <v>648</v>
      </c>
      <c r="R98">
        <v>28</v>
      </c>
      <c r="S98">
        <v>17.803756331391199</v>
      </c>
      <c r="T98" t="s">
        <v>30</v>
      </c>
      <c r="U98">
        <v>3.8720476814821301</v>
      </c>
      <c r="V98" t="s">
        <v>31</v>
      </c>
      <c r="W98" t="s">
        <v>48</v>
      </c>
      <c r="X98">
        <v>188.74214114905601</v>
      </c>
      <c r="Y98" t="str">
        <f>VLOOKUP(N98,Table2[],3,0)</f>
        <v>Short</v>
      </c>
      <c r="Z98">
        <f>_xlfn.XLOOKUP(N98,Table2[Supplier name],Table2[Reliability score],"not found")</f>
        <v>9</v>
      </c>
      <c r="AA98">
        <f t="shared" si="2"/>
        <v>0.226410360849925</v>
      </c>
      <c r="AB98">
        <f t="shared" si="3"/>
        <v>0.226410360849925</v>
      </c>
    </row>
    <row r="99" spans="1:28">
      <c r="A99" t="s">
        <v>24</v>
      </c>
      <c r="B99" t="s">
        <v>151</v>
      </c>
      <c r="C99" s="1">
        <v>3.5261112591434101</v>
      </c>
      <c r="D99">
        <v>56</v>
      </c>
      <c r="E99">
        <v>62</v>
      </c>
      <c r="F99" s="1">
        <v>4370.9165799845296</v>
      </c>
      <c r="G99" t="s">
        <v>55</v>
      </c>
      <c r="H99">
        <v>46</v>
      </c>
      <c r="I99">
        <v>19</v>
      </c>
      <c r="J99">
        <v>4</v>
      </c>
      <c r="K99">
        <v>9</v>
      </c>
      <c r="L99" t="s">
        <v>36</v>
      </c>
      <c r="M99">
        <v>7.9048456112096703</v>
      </c>
      <c r="N99" t="s">
        <v>52</v>
      </c>
      <c r="O99" t="s">
        <v>29</v>
      </c>
      <c r="P99">
        <v>10</v>
      </c>
      <c r="Q99">
        <v>535</v>
      </c>
      <c r="R99">
        <v>13</v>
      </c>
      <c r="S99">
        <v>65.765155926367399</v>
      </c>
      <c r="T99" t="s">
        <v>46</v>
      </c>
      <c r="U99">
        <v>3.3762378347179798</v>
      </c>
      <c r="V99" t="s">
        <v>31</v>
      </c>
      <c r="W99" t="s">
        <v>48</v>
      </c>
      <c r="X99">
        <v>540.13242286796697</v>
      </c>
      <c r="Y99" t="str">
        <f>VLOOKUP(N99,Table2[],3,0)</f>
        <v>Long</v>
      </c>
      <c r="Z99">
        <f>_xlfn.XLOOKUP(N99,Table2[Supplier name],Table2[Reliability score],"not found")</f>
        <v>5</v>
      </c>
      <c r="AA99">
        <f t="shared" si="2"/>
        <v>2.7791935115711599</v>
      </c>
      <c r="AB99">
        <f t="shared" si="3"/>
        <v>2.7791935115711599</v>
      </c>
    </row>
    <row r="100" spans="1:28">
      <c r="A100" t="s">
        <v>33</v>
      </c>
      <c r="B100" t="s">
        <v>152</v>
      </c>
      <c r="C100" s="1">
        <v>19.754604866878601</v>
      </c>
      <c r="D100">
        <v>43</v>
      </c>
      <c r="E100">
        <v>913</v>
      </c>
      <c r="F100" s="1">
        <v>8525.9525596835192</v>
      </c>
      <c r="G100" t="s">
        <v>35</v>
      </c>
      <c r="H100">
        <v>53</v>
      </c>
      <c r="I100">
        <v>1</v>
      </c>
      <c r="J100">
        <v>27</v>
      </c>
      <c r="K100">
        <v>7</v>
      </c>
      <c r="L100" t="s">
        <v>27</v>
      </c>
      <c r="M100">
        <v>1.4098010951380699</v>
      </c>
      <c r="N100" t="s">
        <v>44</v>
      </c>
      <c r="O100" t="s">
        <v>62</v>
      </c>
      <c r="P100">
        <v>28</v>
      </c>
      <c r="Q100">
        <v>581</v>
      </c>
      <c r="R100">
        <v>9</v>
      </c>
      <c r="S100">
        <v>5.6046908643717801</v>
      </c>
      <c r="T100" t="s">
        <v>30</v>
      </c>
      <c r="U100">
        <v>2.9081221693512598</v>
      </c>
      <c r="V100" t="s">
        <v>47</v>
      </c>
      <c r="W100" t="s">
        <v>48</v>
      </c>
      <c r="X100">
        <v>882.19886354704101</v>
      </c>
      <c r="Y100" t="str">
        <f>VLOOKUP(N100,Table2[],3,0)</f>
        <v>Medium</v>
      </c>
      <c r="Z100">
        <f>_xlfn.XLOOKUP(N100,Table2[Supplier name],Table2[Reliability score],"not found")</f>
        <v>7</v>
      </c>
      <c r="AA100">
        <f t="shared" si="2"/>
        <v>4.7466486206477496</v>
      </c>
      <c r="AB100">
        <f t="shared" si="3"/>
        <v>4.7466486206477496</v>
      </c>
    </row>
    <row r="101" spans="1:28">
      <c r="A101" t="s">
        <v>24</v>
      </c>
      <c r="B101" t="s">
        <v>153</v>
      </c>
      <c r="C101" s="1">
        <v>68.517832699276596</v>
      </c>
      <c r="D101">
        <v>17</v>
      </c>
      <c r="E101">
        <v>627</v>
      </c>
      <c r="F101" s="1">
        <v>9185.1858291817007</v>
      </c>
      <c r="G101" t="s">
        <v>38</v>
      </c>
      <c r="H101">
        <v>55</v>
      </c>
      <c r="I101">
        <v>8</v>
      </c>
      <c r="J101">
        <v>59</v>
      </c>
      <c r="K101">
        <v>6</v>
      </c>
      <c r="L101" t="s">
        <v>27</v>
      </c>
      <c r="M101">
        <v>1.3110237561206199</v>
      </c>
      <c r="N101" t="s">
        <v>61</v>
      </c>
      <c r="O101" t="s">
        <v>62</v>
      </c>
      <c r="P101">
        <v>29</v>
      </c>
      <c r="Q101">
        <v>921</v>
      </c>
      <c r="R101">
        <v>2</v>
      </c>
      <c r="S101">
        <v>38.072898520625998</v>
      </c>
      <c r="T101" t="s">
        <v>46</v>
      </c>
      <c r="U101">
        <v>0.34602729070550298</v>
      </c>
      <c r="V101" t="s">
        <v>47</v>
      </c>
      <c r="W101" t="s">
        <v>32</v>
      </c>
      <c r="X101">
        <v>210.743008964246</v>
      </c>
      <c r="Y101" t="str">
        <f>VLOOKUP(N101,Table2[],3,0)</f>
        <v>Medium</v>
      </c>
      <c r="Z101">
        <f>_xlfn.XLOOKUP(N101,Table2[Supplier name],Table2[Reliability score],"not found")</f>
        <v>6</v>
      </c>
      <c r="AA101">
        <f t="shared" si="2"/>
        <v>3.8446144787675798</v>
      </c>
      <c r="AB101">
        <f t="shared" si="3"/>
        <v>3.8446144787675798</v>
      </c>
    </row>
  </sheetData>
  <conditionalFormatting sqref="U1:U1048576">
    <cfRule type="colorScale" priority="1">
      <colorScale>
        <cfvo type="min"/>
        <cfvo type="percentile" val="50"/>
        <cfvo type="max"/>
        <color rgb="FFF8696B"/>
        <color rgb="FFFFEB84"/>
        <color rgb="FF63BE7B"/>
      </colorScale>
    </cfRule>
  </conditionalFormatting>
  <dataValidations count="1">
    <dataValidation type="list" allowBlank="1" showInputMessage="1" showErrorMessage="1" sqref="A1:A1048576" xr:uid="{1FF69CFC-828E-4005-8192-02F1BAA83267}">
      <formula1>"haircare,skincare,cosmetics"</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7F032-0D5B-47E0-87E7-6A043278CEDA}">
  <dimension ref="A1:D6"/>
  <sheetViews>
    <sheetView tabSelected="1" workbookViewId="0">
      <selection activeCell="E18" sqref="E18"/>
    </sheetView>
  </sheetViews>
  <sheetFormatPr defaultRowHeight="14.4"/>
  <cols>
    <col min="1" max="1" width="15" customWidth="1"/>
    <col min="2" max="2" width="10.109375" customWidth="1"/>
    <col min="3" max="3" width="18.88671875" customWidth="1"/>
    <col min="4" max="4" width="15.88671875" customWidth="1"/>
  </cols>
  <sheetData>
    <row r="1" spans="1:4">
      <c r="A1" t="s">
        <v>13</v>
      </c>
      <c r="B1" t="s">
        <v>14</v>
      </c>
      <c r="C1" t="s">
        <v>154</v>
      </c>
      <c r="D1" t="s">
        <v>155</v>
      </c>
    </row>
    <row r="2" spans="1:4">
      <c r="A2" t="s">
        <v>39</v>
      </c>
      <c r="B2" t="s">
        <v>29</v>
      </c>
      <c r="C2" t="s">
        <v>156</v>
      </c>
      <c r="D2">
        <v>8</v>
      </c>
    </row>
    <row r="3" spans="1:4">
      <c r="A3" t="s">
        <v>61</v>
      </c>
      <c r="B3" t="s">
        <v>45</v>
      </c>
      <c r="C3" t="s">
        <v>157</v>
      </c>
      <c r="D3">
        <v>6</v>
      </c>
    </row>
    <row r="4" spans="1:4">
      <c r="A4" t="s">
        <v>28</v>
      </c>
      <c r="B4" t="s">
        <v>29</v>
      </c>
      <c r="C4" t="s">
        <v>156</v>
      </c>
      <c r="D4">
        <v>9</v>
      </c>
    </row>
    <row r="5" spans="1:4">
      <c r="A5" t="s">
        <v>52</v>
      </c>
      <c r="B5" t="s">
        <v>62</v>
      </c>
      <c r="C5" t="s">
        <v>158</v>
      </c>
      <c r="D5">
        <v>5</v>
      </c>
    </row>
    <row r="6" spans="1:4">
      <c r="A6" t="s">
        <v>44</v>
      </c>
      <c r="B6" t="s">
        <v>45</v>
      </c>
      <c r="C6" t="s">
        <v>157</v>
      </c>
      <c r="D6">
        <v>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C4868-7A48-4728-B1E1-792804F3A93C}">
  <dimension ref="A1:AJ229"/>
  <sheetViews>
    <sheetView topLeftCell="A198" zoomScale="60" workbookViewId="0">
      <selection activeCell="H210" sqref="H210"/>
    </sheetView>
  </sheetViews>
  <sheetFormatPr defaultRowHeight="14.4"/>
  <cols>
    <col min="1" max="1" width="15.5546875" customWidth="1"/>
    <col min="2" max="2" width="32.5546875" customWidth="1"/>
    <col min="3" max="3" width="37.44140625" customWidth="1"/>
    <col min="4" max="4" width="21" customWidth="1"/>
    <col min="5" max="5" width="25.21875" customWidth="1"/>
    <col min="6" max="6" width="19.44140625" customWidth="1"/>
    <col min="25" max="25" width="24" customWidth="1"/>
    <col min="26" max="26" width="17.88671875" customWidth="1"/>
    <col min="27" max="27" width="21.5546875" customWidth="1"/>
    <col min="28" max="28" width="18.88671875" customWidth="1"/>
    <col min="29" max="29" width="27" customWidth="1"/>
    <col min="30" max="30" width="28.5546875" customWidth="1"/>
    <col min="31" max="31" width="30.88671875" customWidth="1"/>
    <col min="36" max="36" width="57.77734375" customWidth="1"/>
  </cols>
  <sheetData>
    <row r="1" spans="1:36">
      <c r="A1" t="s">
        <v>0</v>
      </c>
      <c r="B1" t="s">
        <v>1</v>
      </c>
      <c r="C1" s="1" t="s">
        <v>2</v>
      </c>
      <c r="D1" t="s">
        <v>3</v>
      </c>
      <c r="E1" t="s">
        <v>4</v>
      </c>
      <c r="F1" s="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161</v>
      </c>
      <c r="Z1" t="s">
        <v>162</v>
      </c>
      <c r="AA1" t="s">
        <v>163</v>
      </c>
      <c r="AB1" t="s">
        <v>164</v>
      </c>
      <c r="AC1" t="s">
        <v>165</v>
      </c>
      <c r="AD1" t="s">
        <v>166</v>
      </c>
      <c r="AE1" t="s">
        <v>167</v>
      </c>
    </row>
    <row r="2" spans="1:36">
      <c r="A2" t="s">
        <v>24</v>
      </c>
      <c r="B2" t="s">
        <v>25</v>
      </c>
      <c r="C2" s="1">
        <v>69.808005542115694</v>
      </c>
      <c r="D2">
        <v>55</v>
      </c>
      <c r="E2">
        <v>802</v>
      </c>
      <c r="F2" s="1">
        <v>8661.9967923923796</v>
      </c>
      <c r="G2" t="s">
        <v>26</v>
      </c>
      <c r="H2">
        <v>58</v>
      </c>
      <c r="I2">
        <v>7</v>
      </c>
      <c r="J2">
        <v>96</v>
      </c>
      <c r="K2">
        <v>4</v>
      </c>
      <c r="L2" t="s">
        <v>27</v>
      </c>
      <c r="M2">
        <v>2.9565721394308002</v>
      </c>
      <c r="N2" t="s">
        <v>28</v>
      </c>
      <c r="O2" t="s">
        <v>29</v>
      </c>
      <c r="P2">
        <v>29</v>
      </c>
      <c r="Q2">
        <v>215</v>
      </c>
      <c r="R2">
        <v>29</v>
      </c>
      <c r="S2">
        <v>46.279879240508301</v>
      </c>
      <c r="T2" t="s">
        <v>30</v>
      </c>
      <c r="U2">
        <v>0.226410360849925</v>
      </c>
      <c r="V2" t="s">
        <v>31</v>
      </c>
      <c r="W2" t="s">
        <v>32</v>
      </c>
      <c r="X2">
        <v>187.75207545920301</v>
      </c>
      <c r="Y2" t="str">
        <f>IF(K2&lt;=7,"On Time","Late")</f>
        <v>On Time</v>
      </c>
      <c r="Z2" t="str">
        <f>IF(H2&lt;20,"Critical",IF(H2&lt;50,"Low","OK"))</f>
        <v>OK</v>
      </c>
      <c r="AA2" t="str">
        <f>IF(R2&lt;=I2,"Within lead time","Exceeds lead time")</f>
        <v>Exceeds lead time</v>
      </c>
      <c r="AB2" t="str">
        <f>IF(F2&gt;8000,"High",IF(F2&gt;5000,"Medium","Low"))</f>
        <v>High</v>
      </c>
      <c r="AC2">
        <f>SUMIF($A$2:$A$101,A2,$F$2:$F$101)</f>
        <v>174455.39060546222</v>
      </c>
      <c r="AD2">
        <f>AVERAGEIF($N$2:$N$101,N2,$U$2:$U$101)</f>
        <v>2.4657860307644657</v>
      </c>
      <c r="AE2">
        <f>COUNTIF($L$2:$L$101,L2)</f>
        <v>43</v>
      </c>
    </row>
    <row r="3" spans="1:36">
      <c r="A3" t="s">
        <v>33</v>
      </c>
      <c r="B3" t="s">
        <v>34</v>
      </c>
      <c r="C3" s="1">
        <v>14.8435232750843</v>
      </c>
      <c r="D3">
        <v>95</v>
      </c>
      <c r="E3">
        <v>736</v>
      </c>
      <c r="F3" s="1">
        <v>7460.9000654458396</v>
      </c>
      <c r="G3" t="s">
        <v>35</v>
      </c>
      <c r="H3">
        <v>53</v>
      </c>
      <c r="I3">
        <v>30</v>
      </c>
      <c r="J3">
        <v>37</v>
      </c>
      <c r="K3">
        <v>2</v>
      </c>
      <c r="L3" t="s">
        <v>36</v>
      </c>
      <c r="M3">
        <v>9.7165747714313095</v>
      </c>
      <c r="N3" t="s">
        <v>28</v>
      </c>
      <c r="O3" t="s">
        <v>29</v>
      </c>
      <c r="P3">
        <v>23</v>
      </c>
      <c r="Q3">
        <v>517</v>
      </c>
      <c r="R3">
        <v>30</v>
      </c>
      <c r="S3">
        <v>33.616768953730002</v>
      </c>
      <c r="T3" t="s">
        <v>30</v>
      </c>
      <c r="U3">
        <v>4.8540680263886999</v>
      </c>
      <c r="V3" t="s">
        <v>31</v>
      </c>
      <c r="W3" t="s">
        <v>32</v>
      </c>
      <c r="X3">
        <v>503.06557914966902</v>
      </c>
      <c r="Y3" t="str">
        <f t="shared" ref="Y3:Y66" si="0">IF(K3&lt;=7,"On Time","Late")</f>
        <v>On Time</v>
      </c>
      <c r="Z3" t="str">
        <f t="shared" ref="Z3:Z66" si="1">IF(H3&lt;20,"Critical",IF(H3&lt;50,"Low","OK"))</f>
        <v>OK</v>
      </c>
      <c r="AA3" t="str">
        <f t="shared" ref="AA3:AA66" si="2">IF(R3&lt;=I3,"Within lead time","Exceeds lead time")</f>
        <v>Within lead time</v>
      </c>
      <c r="AB3" t="str">
        <f t="shared" ref="AB3:AB66" si="3">IF(F3&gt;8000,"High",IF(F3&gt;5000,"Medium","Low"))</f>
        <v>Medium</v>
      </c>
      <c r="AC3">
        <f t="shared" ref="AC3:AC66" si="4">SUMIF($A$2:$A$101,A3,$F$2:$F$101)</f>
        <v>241628.16213306302</v>
      </c>
      <c r="AD3">
        <f t="shared" ref="AD3:AD66" si="5">AVERAGEIF($N$2:$N$101,N3,$U$2:$U$101)</f>
        <v>2.4657860307644657</v>
      </c>
      <c r="AE3">
        <f t="shared" ref="AE3:AE66" si="6">COUNTIF($L$2:$L$101,L3)</f>
        <v>28</v>
      </c>
    </row>
    <row r="4" spans="1:36">
      <c r="A4" t="s">
        <v>24</v>
      </c>
      <c r="B4" t="s">
        <v>37</v>
      </c>
      <c r="C4" s="1">
        <v>11.319683293090501</v>
      </c>
      <c r="D4">
        <v>34</v>
      </c>
      <c r="E4">
        <v>8</v>
      </c>
      <c r="F4" s="1">
        <v>9577.7496258687297</v>
      </c>
      <c r="G4" t="s">
        <v>38</v>
      </c>
      <c r="H4">
        <v>1</v>
      </c>
      <c r="I4">
        <v>10</v>
      </c>
      <c r="J4">
        <v>88</v>
      </c>
      <c r="K4">
        <v>2</v>
      </c>
      <c r="L4" t="s">
        <v>27</v>
      </c>
      <c r="M4">
        <v>8.0544792617321495</v>
      </c>
      <c r="N4" t="s">
        <v>39</v>
      </c>
      <c r="O4" t="s">
        <v>29</v>
      </c>
      <c r="P4">
        <v>12</v>
      </c>
      <c r="Q4">
        <v>971</v>
      </c>
      <c r="R4">
        <v>27</v>
      </c>
      <c r="S4">
        <v>30.6880193482842</v>
      </c>
      <c r="T4" t="s">
        <v>30</v>
      </c>
      <c r="U4">
        <v>4.5805926191992201</v>
      </c>
      <c r="V4" t="s">
        <v>40</v>
      </c>
      <c r="W4" t="s">
        <v>41</v>
      </c>
      <c r="X4">
        <v>141.920281771519</v>
      </c>
      <c r="Y4" t="str">
        <f t="shared" si="0"/>
        <v>On Time</v>
      </c>
      <c r="Z4" t="str">
        <f t="shared" si="1"/>
        <v>Critical</v>
      </c>
      <c r="AA4" t="str">
        <f t="shared" si="2"/>
        <v>Exceeds lead time</v>
      </c>
      <c r="AB4" t="str">
        <f t="shared" si="3"/>
        <v>High</v>
      </c>
      <c r="AC4">
        <f t="shared" si="4"/>
        <v>174455.39060546222</v>
      </c>
      <c r="AD4">
        <f t="shared" si="5"/>
        <v>1.8036297116882485</v>
      </c>
      <c r="AE4">
        <f t="shared" si="6"/>
        <v>43</v>
      </c>
    </row>
    <row r="5" spans="1:36">
      <c r="A5" t="s">
        <v>33</v>
      </c>
      <c r="B5" t="s">
        <v>42</v>
      </c>
      <c r="C5" s="1">
        <v>61.1633430164377</v>
      </c>
      <c r="D5">
        <v>68</v>
      </c>
      <c r="E5">
        <v>83</v>
      </c>
      <c r="F5" s="1">
        <v>7766.8364256852301</v>
      </c>
      <c r="G5" t="s">
        <v>26</v>
      </c>
      <c r="H5">
        <v>23</v>
      </c>
      <c r="I5">
        <v>13</v>
      </c>
      <c r="J5">
        <v>59</v>
      </c>
      <c r="K5">
        <v>6</v>
      </c>
      <c r="L5" t="s">
        <v>43</v>
      </c>
      <c r="M5">
        <v>1.7295685635434199</v>
      </c>
      <c r="N5" t="s">
        <v>44</v>
      </c>
      <c r="O5" t="s">
        <v>45</v>
      </c>
      <c r="P5">
        <v>24</v>
      </c>
      <c r="Q5">
        <v>937</v>
      </c>
      <c r="R5">
        <v>18</v>
      </c>
      <c r="S5">
        <v>35.624741397125</v>
      </c>
      <c r="T5" t="s">
        <v>46</v>
      </c>
      <c r="U5">
        <v>4.7466486206477496</v>
      </c>
      <c r="V5" t="s">
        <v>47</v>
      </c>
      <c r="W5" t="s">
        <v>48</v>
      </c>
      <c r="X5">
        <v>254.776159219286</v>
      </c>
      <c r="Y5" t="str">
        <f t="shared" si="0"/>
        <v>On Time</v>
      </c>
      <c r="Z5" t="str">
        <f t="shared" si="1"/>
        <v>Low</v>
      </c>
      <c r="AA5" t="str">
        <f t="shared" si="2"/>
        <v>Exceeds lead time</v>
      </c>
      <c r="AB5" t="str">
        <f t="shared" si="3"/>
        <v>Medium</v>
      </c>
      <c r="AC5">
        <f t="shared" si="4"/>
        <v>241628.16213306302</v>
      </c>
      <c r="AD5">
        <f t="shared" si="5"/>
        <v>2.6654083441491982</v>
      </c>
      <c r="AE5">
        <f t="shared" si="6"/>
        <v>29</v>
      </c>
      <c r="AJ5" s="2"/>
    </row>
    <row r="6" spans="1:36">
      <c r="A6" t="s">
        <v>33</v>
      </c>
      <c r="B6" t="s">
        <v>49</v>
      </c>
      <c r="C6" s="1">
        <v>4.8054960363458896</v>
      </c>
      <c r="D6">
        <v>26</v>
      </c>
      <c r="E6">
        <v>871</v>
      </c>
      <c r="F6" s="1">
        <v>2686.50515156744</v>
      </c>
      <c r="G6" t="s">
        <v>26</v>
      </c>
      <c r="H6">
        <v>5</v>
      </c>
      <c r="I6">
        <v>3</v>
      </c>
      <c r="J6">
        <v>56</v>
      </c>
      <c r="K6">
        <v>8</v>
      </c>
      <c r="L6" t="s">
        <v>36</v>
      </c>
      <c r="M6">
        <v>3.8905479158706702</v>
      </c>
      <c r="N6" t="s">
        <v>39</v>
      </c>
      <c r="O6" t="s">
        <v>50</v>
      </c>
      <c r="P6">
        <v>5</v>
      </c>
      <c r="Q6">
        <v>414</v>
      </c>
      <c r="R6">
        <v>3</v>
      </c>
      <c r="S6">
        <v>92.065160598712794</v>
      </c>
      <c r="T6" t="s">
        <v>46</v>
      </c>
      <c r="U6">
        <v>3.1455795228330001</v>
      </c>
      <c r="V6" t="s">
        <v>40</v>
      </c>
      <c r="W6" t="s">
        <v>48</v>
      </c>
      <c r="X6">
        <v>923.44063171192204</v>
      </c>
      <c r="Y6" t="str">
        <f t="shared" si="0"/>
        <v>Late</v>
      </c>
      <c r="Z6" t="str">
        <f t="shared" si="1"/>
        <v>Critical</v>
      </c>
      <c r="AA6" t="str">
        <f t="shared" si="2"/>
        <v>Within lead time</v>
      </c>
      <c r="AB6" t="str">
        <f t="shared" si="3"/>
        <v>Low</v>
      </c>
      <c r="AC6">
        <f t="shared" si="4"/>
        <v>241628.16213306302</v>
      </c>
      <c r="AD6">
        <f t="shared" si="5"/>
        <v>1.8036297116882485</v>
      </c>
      <c r="AE6">
        <f t="shared" si="6"/>
        <v>28</v>
      </c>
    </row>
    <row r="7" spans="1:36">
      <c r="A7" t="s">
        <v>24</v>
      </c>
      <c r="B7" t="s">
        <v>51</v>
      </c>
      <c r="C7" s="1">
        <v>1.6999760138659299</v>
      </c>
      <c r="D7">
        <v>87</v>
      </c>
      <c r="E7">
        <v>147</v>
      </c>
      <c r="F7" s="1">
        <v>2828.3487459757498</v>
      </c>
      <c r="G7" t="s">
        <v>26</v>
      </c>
      <c r="H7">
        <v>90</v>
      </c>
      <c r="I7">
        <v>27</v>
      </c>
      <c r="J7">
        <v>66</v>
      </c>
      <c r="K7">
        <v>3</v>
      </c>
      <c r="L7" t="s">
        <v>27</v>
      </c>
      <c r="M7">
        <v>4.4440988643822896</v>
      </c>
      <c r="N7" t="s">
        <v>52</v>
      </c>
      <c r="O7" t="s">
        <v>53</v>
      </c>
      <c r="P7">
        <v>10</v>
      </c>
      <c r="Q7">
        <v>104</v>
      </c>
      <c r="R7">
        <v>17</v>
      </c>
      <c r="S7">
        <v>56.766475557431797</v>
      </c>
      <c r="T7" t="s">
        <v>46</v>
      </c>
      <c r="U7">
        <v>2.7791935115711599</v>
      </c>
      <c r="V7" t="s">
        <v>31</v>
      </c>
      <c r="W7" t="s">
        <v>48</v>
      </c>
      <c r="X7">
        <v>235.461236735537</v>
      </c>
      <c r="Y7" t="str">
        <f t="shared" si="0"/>
        <v>On Time</v>
      </c>
      <c r="Z7" t="str">
        <f t="shared" si="1"/>
        <v>OK</v>
      </c>
      <c r="AA7" t="str">
        <f t="shared" si="2"/>
        <v>Within lead time</v>
      </c>
      <c r="AB7" t="str">
        <f t="shared" si="3"/>
        <v>Low</v>
      </c>
      <c r="AC7">
        <f t="shared" si="4"/>
        <v>174455.39060546222</v>
      </c>
      <c r="AD7">
        <f t="shared" si="5"/>
        <v>2.3373974005913354</v>
      </c>
      <c r="AE7">
        <f t="shared" si="6"/>
        <v>43</v>
      </c>
    </row>
    <row r="8" spans="1:36">
      <c r="A8" t="s">
        <v>33</v>
      </c>
      <c r="B8" t="s">
        <v>54</v>
      </c>
      <c r="C8" s="1">
        <v>4.0783328631079403</v>
      </c>
      <c r="D8">
        <v>48</v>
      </c>
      <c r="E8">
        <v>65</v>
      </c>
      <c r="F8" s="1">
        <v>7823.4765595317303</v>
      </c>
      <c r="G8" t="s">
        <v>55</v>
      </c>
      <c r="H8">
        <v>11</v>
      </c>
      <c r="I8">
        <v>15</v>
      </c>
      <c r="J8">
        <v>58</v>
      </c>
      <c r="K8">
        <v>8</v>
      </c>
      <c r="L8" t="s">
        <v>43</v>
      </c>
      <c r="M8">
        <v>3.8807633029519999</v>
      </c>
      <c r="N8" t="s">
        <v>28</v>
      </c>
      <c r="O8" t="s">
        <v>45</v>
      </c>
      <c r="P8">
        <v>14</v>
      </c>
      <c r="Q8">
        <v>314</v>
      </c>
      <c r="R8">
        <v>24</v>
      </c>
      <c r="S8">
        <v>1.0850685695870601</v>
      </c>
      <c r="T8" t="s">
        <v>30</v>
      </c>
      <c r="U8">
        <v>1.0009106193041299</v>
      </c>
      <c r="V8" t="s">
        <v>56</v>
      </c>
      <c r="W8" t="s">
        <v>48</v>
      </c>
      <c r="X8">
        <v>134.36909686103101</v>
      </c>
      <c r="Y8" t="str">
        <f t="shared" si="0"/>
        <v>Late</v>
      </c>
      <c r="Z8" t="str">
        <f t="shared" si="1"/>
        <v>Critical</v>
      </c>
      <c r="AA8" t="str">
        <f t="shared" si="2"/>
        <v>Exceeds lead time</v>
      </c>
      <c r="AB8" t="str">
        <f t="shared" si="3"/>
        <v>Medium</v>
      </c>
      <c r="AC8">
        <f t="shared" si="4"/>
        <v>241628.16213306302</v>
      </c>
      <c r="AD8">
        <f t="shared" si="5"/>
        <v>2.4657860307644657</v>
      </c>
      <c r="AE8">
        <f t="shared" si="6"/>
        <v>29</v>
      </c>
    </row>
    <row r="9" spans="1:36">
      <c r="A9" t="s">
        <v>57</v>
      </c>
      <c r="B9" t="s">
        <v>58</v>
      </c>
      <c r="C9" s="1">
        <v>42.958384382459997</v>
      </c>
      <c r="D9">
        <v>59</v>
      </c>
      <c r="E9">
        <v>426</v>
      </c>
      <c r="F9" s="1">
        <v>8496.1038130898305</v>
      </c>
      <c r="G9" t="s">
        <v>35</v>
      </c>
      <c r="H9">
        <v>93</v>
      </c>
      <c r="I9">
        <v>17</v>
      </c>
      <c r="J9">
        <v>11</v>
      </c>
      <c r="K9">
        <v>1</v>
      </c>
      <c r="L9" t="s">
        <v>27</v>
      </c>
      <c r="M9">
        <v>2.3483387844177801</v>
      </c>
      <c r="N9" t="s">
        <v>52</v>
      </c>
      <c r="O9" t="s">
        <v>53</v>
      </c>
      <c r="P9">
        <v>22</v>
      </c>
      <c r="Q9">
        <v>564</v>
      </c>
      <c r="R9">
        <v>1</v>
      </c>
      <c r="S9">
        <v>99.466108603599096</v>
      </c>
      <c r="T9" t="s">
        <v>46</v>
      </c>
      <c r="U9">
        <v>0.39817718685065001</v>
      </c>
      <c r="V9" t="s">
        <v>31</v>
      </c>
      <c r="W9" t="s">
        <v>41</v>
      </c>
      <c r="X9">
        <v>802.05631181755803</v>
      </c>
      <c r="Y9" t="str">
        <f t="shared" si="0"/>
        <v>On Time</v>
      </c>
      <c r="Z9" t="str">
        <f t="shared" si="1"/>
        <v>OK</v>
      </c>
      <c r="AA9" t="str">
        <f t="shared" si="2"/>
        <v>Within lead time</v>
      </c>
      <c r="AB9" t="str">
        <f t="shared" si="3"/>
        <v>High</v>
      </c>
      <c r="AC9">
        <f t="shared" si="4"/>
        <v>161521.26599948306</v>
      </c>
      <c r="AD9">
        <f t="shared" si="5"/>
        <v>2.3373974005913354</v>
      </c>
      <c r="AE9">
        <f t="shared" si="6"/>
        <v>43</v>
      </c>
    </row>
    <row r="10" spans="1:36">
      <c r="A10" t="s">
        <v>57</v>
      </c>
      <c r="B10" t="s">
        <v>59</v>
      </c>
      <c r="C10" s="1">
        <v>68.717596748527299</v>
      </c>
      <c r="D10">
        <v>78</v>
      </c>
      <c r="E10">
        <v>150</v>
      </c>
      <c r="F10" s="1">
        <v>7517.3632106311197</v>
      </c>
      <c r="G10" t="s">
        <v>35</v>
      </c>
      <c r="H10">
        <v>5</v>
      </c>
      <c r="I10">
        <v>10</v>
      </c>
      <c r="J10">
        <v>15</v>
      </c>
      <c r="K10">
        <v>7</v>
      </c>
      <c r="L10" t="s">
        <v>43</v>
      </c>
      <c r="M10">
        <v>3.4047338570830199</v>
      </c>
      <c r="N10" t="s">
        <v>52</v>
      </c>
      <c r="O10" t="s">
        <v>29</v>
      </c>
      <c r="P10">
        <v>13</v>
      </c>
      <c r="Q10">
        <v>769</v>
      </c>
      <c r="R10">
        <v>8</v>
      </c>
      <c r="S10">
        <v>11.423027139565599</v>
      </c>
      <c r="T10" t="s">
        <v>30</v>
      </c>
      <c r="U10">
        <v>2.7098626911099601</v>
      </c>
      <c r="V10" t="s">
        <v>56</v>
      </c>
      <c r="W10" t="s">
        <v>32</v>
      </c>
      <c r="X10">
        <v>505.55713422546398</v>
      </c>
      <c r="Y10" t="str">
        <f t="shared" si="0"/>
        <v>On Time</v>
      </c>
      <c r="Z10" t="str">
        <f t="shared" si="1"/>
        <v>Critical</v>
      </c>
      <c r="AA10" t="str">
        <f t="shared" si="2"/>
        <v>Within lead time</v>
      </c>
      <c r="AB10" t="str">
        <f t="shared" si="3"/>
        <v>Medium</v>
      </c>
      <c r="AC10">
        <f t="shared" si="4"/>
        <v>161521.26599948306</v>
      </c>
      <c r="AD10">
        <f t="shared" si="5"/>
        <v>2.3373974005913354</v>
      </c>
      <c r="AE10">
        <f t="shared" si="6"/>
        <v>29</v>
      </c>
    </row>
    <row r="11" spans="1:36">
      <c r="A11" t="s">
        <v>33</v>
      </c>
      <c r="B11" t="s">
        <v>60</v>
      </c>
      <c r="C11" s="1">
        <v>64.0157329412785</v>
      </c>
      <c r="D11">
        <v>35</v>
      </c>
      <c r="E11">
        <v>980</v>
      </c>
      <c r="F11" s="1">
        <v>4971.1459875855498</v>
      </c>
      <c r="G11" t="s">
        <v>38</v>
      </c>
      <c r="H11">
        <v>14</v>
      </c>
      <c r="I11">
        <v>27</v>
      </c>
      <c r="J11">
        <v>83</v>
      </c>
      <c r="K11">
        <v>1</v>
      </c>
      <c r="L11" t="s">
        <v>36</v>
      </c>
      <c r="M11">
        <v>7.1666452910482104</v>
      </c>
      <c r="N11" t="s">
        <v>61</v>
      </c>
      <c r="O11" t="s">
        <v>62</v>
      </c>
      <c r="P11">
        <v>29</v>
      </c>
      <c r="Q11">
        <v>963</v>
      </c>
      <c r="R11">
        <v>23</v>
      </c>
      <c r="S11">
        <v>47.957601634951502</v>
      </c>
      <c r="T11" t="s">
        <v>30</v>
      </c>
      <c r="U11">
        <v>3.8446144787675798</v>
      </c>
      <c r="V11" t="s">
        <v>47</v>
      </c>
      <c r="W11" t="s">
        <v>32</v>
      </c>
      <c r="X11">
        <v>995.92946149864099</v>
      </c>
      <c r="Y11" t="str">
        <f t="shared" si="0"/>
        <v>On Time</v>
      </c>
      <c r="Z11" t="str">
        <f t="shared" si="1"/>
        <v>Critical</v>
      </c>
      <c r="AA11" t="str">
        <f t="shared" si="2"/>
        <v>Within lead time</v>
      </c>
      <c r="AB11" t="str">
        <f t="shared" si="3"/>
        <v>Low</v>
      </c>
      <c r="AC11">
        <f t="shared" si="4"/>
        <v>241628.16213306302</v>
      </c>
      <c r="AD11">
        <f t="shared" si="5"/>
        <v>2.3627501450718764</v>
      </c>
      <c r="AE11">
        <f t="shared" si="6"/>
        <v>28</v>
      </c>
    </row>
    <row r="12" spans="1:36">
      <c r="A12" t="s">
        <v>33</v>
      </c>
      <c r="B12" t="s">
        <v>63</v>
      </c>
      <c r="C12" s="1">
        <v>15.707795681912099</v>
      </c>
      <c r="D12">
        <v>11</v>
      </c>
      <c r="E12">
        <v>996</v>
      </c>
      <c r="F12" s="1">
        <v>2330.9658020919401</v>
      </c>
      <c r="G12" t="s">
        <v>26</v>
      </c>
      <c r="H12">
        <v>51</v>
      </c>
      <c r="I12">
        <v>13</v>
      </c>
      <c r="J12">
        <v>80</v>
      </c>
      <c r="K12">
        <v>2</v>
      </c>
      <c r="L12" t="s">
        <v>43</v>
      </c>
      <c r="M12">
        <v>8.6732112112786108</v>
      </c>
      <c r="N12" t="s">
        <v>44</v>
      </c>
      <c r="O12" t="s">
        <v>45</v>
      </c>
      <c r="P12">
        <v>18</v>
      </c>
      <c r="Q12">
        <v>830</v>
      </c>
      <c r="R12">
        <v>5</v>
      </c>
      <c r="S12">
        <v>96.527352785310896</v>
      </c>
      <c r="T12" t="s">
        <v>64</v>
      </c>
      <c r="U12">
        <v>1.72731392835594</v>
      </c>
      <c r="V12" t="s">
        <v>31</v>
      </c>
      <c r="W12" t="s">
        <v>32</v>
      </c>
      <c r="X12">
        <v>806.10317770292295</v>
      </c>
      <c r="Y12" t="str">
        <f t="shared" si="0"/>
        <v>On Time</v>
      </c>
      <c r="Z12" t="str">
        <f t="shared" si="1"/>
        <v>OK</v>
      </c>
      <c r="AA12" t="str">
        <f t="shared" si="2"/>
        <v>Within lead time</v>
      </c>
      <c r="AB12" t="str">
        <f t="shared" si="3"/>
        <v>Low</v>
      </c>
      <c r="AC12">
        <f t="shared" si="4"/>
        <v>241628.16213306302</v>
      </c>
      <c r="AD12">
        <f t="shared" si="5"/>
        <v>2.6654083441491982</v>
      </c>
      <c r="AE12">
        <f t="shared" si="6"/>
        <v>29</v>
      </c>
    </row>
    <row r="13" spans="1:36">
      <c r="A13" t="s">
        <v>33</v>
      </c>
      <c r="B13" t="s">
        <v>65</v>
      </c>
      <c r="C13" s="1">
        <v>90.635459982288594</v>
      </c>
      <c r="D13">
        <v>95</v>
      </c>
      <c r="E13">
        <v>960</v>
      </c>
      <c r="F13" s="1">
        <v>6099.9441155814502</v>
      </c>
      <c r="G13" t="s">
        <v>35</v>
      </c>
      <c r="H13">
        <v>46</v>
      </c>
      <c r="I13">
        <v>23</v>
      </c>
      <c r="J13">
        <v>60</v>
      </c>
      <c r="K13">
        <v>1</v>
      </c>
      <c r="L13" t="s">
        <v>36</v>
      </c>
      <c r="M13">
        <v>4.5239431243166601</v>
      </c>
      <c r="N13" t="s">
        <v>61</v>
      </c>
      <c r="O13" t="s">
        <v>45</v>
      </c>
      <c r="P13">
        <v>28</v>
      </c>
      <c r="Q13">
        <v>362</v>
      </c>
      <c r="R13">
        <v>11</v>
      </c>
      <c r="S13">
        <v>27.5923630866636</v>
      </c>
      <c r="T13" t="s">
        <v>30</v>
      </c>
      <c r="U13">
        <v>2.1169821372994301E-2</v>
      </c>
      <c r="V13" t="s">
        <v>40</v>
      </c>
      <c r="W13" t="s">
        <v>48</v>
      </c>
      <c r="X13">
        <v>126.72303340940699</v>
      </c>
      <c r="Y13" t="str">
        <f t="shared" si="0"/>
        <v>On Time</v>
      </c>
      <c r="Z13" t="str">
        <f t="shared" si="1"/>
        <v>Low</v>
      </c>
      <c r="AA13" t="str">
        <f t="shared" si="2"/>
        <v>Within lead time</v>
      </c>
      <c r="AB13" t="str">
        <f t="shared" si="3"/>
        <v>Medium</v>
      </c>
      <c r="AC13">
        <f t="shared" si="4"/>
        <v>241628.16213306302</v>
      </c>
      <c r="AD13">
        <f t="shared" si="5"/>
        <v>2.3627501450718764</v>
      </c>
      <c r="AE13">
        <f t="shared" si="6"/>
        <v>28</v>
      </c>
    </row>
    <row r="14" spans="1:36">
      <c r="A14" t="s">
        <v>24</v>
      </c>
      <c r="B14" t="s">
        <v>66</v>
      </c>
      <c r="C14" s="1">
        <v>71.213389075359999</v>
      </c>
      <c r="D14">
        <v>41</v>
      </c>
      <c r="E14">
        <v>336</v>
      </c>
      <c r="F14" s="1">
        <v>2873.74144602144</v>
      </c>
      <c r="G14" t="s">
        <v>38</v>
      </c>
      <c r="H14">
        <v>100</v>
      </c>
      <c r="I14">
        <v>30</v>
      </c>
      <c r="J14">
        <v>85</v>
      </c>
      <c r="K14">
        <v>4</v>
      </c>
      <c r="L14" t="s">
        <v>36</v>
      </c>
      <c r="M14">
        <v>1.32527401018452</v>
      </c>
      <c r="N14" t="s">
        <v>52</v>
      </c>
      <c r="O14" t="s">
        <v>45</v>
      </c>
      <c r="P14">
        <v>3</v>
      </c>
      <c r="Q14">
        <v>563</v>
      </c>
      <c r="R14">
        <v>3</v>
      </c>
      <c r="S14">
        <v>32.321286213424003</v>
      </c>
      <c r="T14" t="s">
        <v>46</v>
      </c>
      <c r="U14">
        <v>2.1612537475559099</v>
      </c>
      <c r="V14" t="s">
        <v>31</v>
      </c>
      <c r="W14" t="s">
        <v>32</v>
      </c>
      <c r="X14">
        <v>402.96878907376998</v>
      </c>
      <c r="Y14" t="str">
        <f t="shared" si="0"/>
        <v>On Time</v>
      </c>
      <c r="Z14" t="str">
        <f t="shared" si="1"/>
        <v>OK</v>
      </c>
      <c r="AA14" t="str">
        <f t="shared" si="2"/>
        <v>Within lead time</v>
      </c>
      <c r="AB14" t="str">
        <f t="shared" si="3"/>
        <v>Low</v>
      </c>
      <c r="AC14">
        <f t="shared" si="4"/>
        <v>174455.39060546222</v>
      </c>
      <c r="AD14">
        <f t="shared" si="5"/>
        <v>2.3373974005913354</v>
      </c>
      <c r="AE14">
        <f t="shared" si="6"/>
        <v>28</v>
      </c>
    </row>
    <row r="15" spans="1:36">
      <c r="A15" t="s">
        <v>33</v>
      </c>
      <c r="B15" t="s">
        <v>67</v>
      </c>
      <c r="C15" s="1">
        <v>16.160393317379899</v>
      </c>
      <c r="D15">
        <v>5</v>
      </c>
      <c r="E15">
        <v>249</v>
      </c>
      <c r="F15" s="1">
        <v>4052.7384162378598</v>
      </c>
      <c r="G15" t="s">
        <v>55</v>
      </c>
      <c r="H15">
        <v>80</v>
      </c>
      <c r="I15">
        <v>8</v>
      </c>
      <c r="J15">
        <v>48</v>
      </c>
      <c r="K15">
        <v>9</v>
      </c>
      <c r="L15" t="s">
        <v>36</v>
      </c>
      <c r="M15">
        <v>9.5372830611083295</v>
      </c>
      <c r="N15" t="s">
        <v>44</v>
      </c>
      <c r="O15" t="s">
        <v>53</v>
      </c>
      <c r="P15">
        <v>23</v>
      </c>
      <c r="Q15">
        <v>173</v>
      </c>
      <c r="R15">
        <v>10</v>
      </c>
      <c r="S15">
        <v>97.829050110173199</v>
      </c>
      <c r="T15" t="s">
        <v>30</v>
      </c>
      <c r="U15">
        <v>1.63107423007153</v>
      </c>
      <c r="V15" t="s">
        <v>31</v>
      </c>
      <c r="W15" t="s">
        <v>32</v>
      </c>
      <c r="X15">
        <v>547.24100516096803</v>
      </c>
      <c r="Y15" t="str">
        <f t="shared" si="0"/>
        <v>Late</v>
      </c>
      <c r="Z15" t="str">
        <f t="shared" si="1"/>
        <v>OK</v>
      </c>
      <c r="AA15" t="str">
        <f t="shared" si="2"/>
        <v>Exceeds lead time</v>
      </c>
      <c r="AB15" t="str">
        <f t="shared" si="3"/>
        <v>Low</v>
      </c>
      <c r="AC15">
        <f t="shared" si="4"/>
        <v>241628.16213306302</v>
      </c>
      <c r="AD15">
        <f t="shared" si="5"/>
        <v>2.6654083441491982</v>
      </c>
      <c r="AE15">
        <f t="shared" si="6"/>
        <v>28</v>
      </c>
    </row>
    <row r="16" spans="1:36">
      <c r="A16" t="s">
        <v>33</v>
      </c>
      <c r="B16" t="s">
        <v>68</v>
      </c>
      <c r="C16" s="1">
        <v>99.171328638624104</v>
      </c>
      <c r="D16">
        <v>26</v>
      </c>
      <c r="E16">
        <v>562</v>
      </c>
      <c r="F16" s="1">
        <v>8653.5709264697998</v>
      </c>
      <c r="G16" t="s">
        <v>26</v>
      </c>
      <c r="H16">
        <v>54</v>
      </c>
      <c r="I16">
        <v>29</v>
      </c>
      <c r="J16">
        <v>78</v>
      </c>
      <c r="K16">
        <v>5</v>
      </c>
      <c r="L16" t="s">
        <v>27</v>
      </c>
      <c r="M16">
        <v>2.0397701894493299</v>
      </c>
      <c r="N16" t="s">
        <v>39</v>
      </c>
      <c r="O16" t="s">
        <v>45</v>
      </c>
      <c r="P16">
        <v>25</v>
      </c>
      <c r="Q16">
        <v>558</v>
      </c>
      <c r="R16">
        <v>14</v>
      </c>
      <c r="S16">
        <v>5.7914366298629796</v>
      </c>
      <c r="T16" t="s">
        <v>30</v>
      </c>
      <c r="U16">
        <v>0.100682851565093</v>
      </c>
      <c r="V16" t="s">
        <v>40</v>
      </c>
      <c r="W16" t="s">
        <v>32</v>
      </c>
      <c r="X16">
        <v>929.23528996088896</v>
      </c>
      <c r="Y16" t="str">
        <f t="shared" si="0"/>
        <v>On Time</v>
      </c>
      <c r="Z16" t="str">
        <f t="shared" si="1"/>
        <v>OK</v>
      </c>
      <c r="AA16" t="str">
        <f t="shared" si="2"/>
        <v>Within lead time</v>
      </c>
      <c r="AB16" t="str">
        <f t="shared" si="3"/>
        <v>High</v>
      </c>
      <c r="AC16">
        <f t="shared" si="4"/>
        <v>241628.16213306302</v>
      </c>
      <c r="AD16">
        <f t="shared" si="5"/>
        <v>1.8036297116882485</v>
      </c>
      <c r="AE16">
        <f t="shared" si="6"/>
        <v>43</v>
      </c>
    </row>
    <row r="17" spans="1:31">
      <c r="A17" t="s">
        <v>33</v>
      </c>
      <c r="B17" t="s">
        <v>69</v>
      </c>
      <c r="C17" s="1">
        <v>36.989244928626903</v>
      </c>
      <c r="D17">
        <v>94</v>
      </c>
      <c r="E17">
        <v>469</v>
      </c>
      <c r="F17" s="1">
        <v>5442.0867853976697</v>
      </c>
      <c r="G17" t="s">
        <v>26</v>
      </c>
      <c r="H17">
        <v>9</v>
      </c>
      <c r="I17">
        <v>8</v>
      </c>
      <c r="J17">
        <v>69</v>
      </c>
      <c r="K17">
        <v>7</v>
      </c>
      <c r="L17" t="s">
        <v>27</v>
      </c>
      <c r="M17">
        <v>2.4220397232752</v>
      </c>
      <c r="N17" t="s">
        <v>39</v>
      </c>
      <c r="O17" t="s">
        <v>53</v>
      </c>
      <c r="P17">
        <v>14</v>
      </c>
      <c r="Q17">
        <v>580</v>
      </c>
      <c r="R17">
        <v>7</v>
      </c>
      <c r="S17">
        <v>97.121281751474299</v>
      </c>
      <c r="T17" t="s">
        <v>64</v>
      </c>
      <c r="U17">
        <v>2.2644057611985402</v>
      </c>
      <c r="V17" t="s">
        <v>56</v>
      </c>
      <c r="W17" t="s">
        <v>32</v>
      </c>
      <c r="X17">
        <v>127.861800001625</v>
      </c>
      <c r="Y17" t="str">
        <f t="shared" si="0"/>
        <v>On Time</v>
      </c>
      <c r="Z17" t="str">
        <f t="shared" si="1"/>
        <v>Critical</v>
      </c>
      <c r="AA17" t="str">
        <f t="shared" si="2"/>
        <v>Within lead time</v>
      </c>
      <c r="AB17" t="str">
        <f t="shared" si="3"/>
        <v>Medium</v>
      </c>
      <c r="AC17">
        <f t="shared" si="4"/>
        <v>241628.16213306302</v>
      </c>
      <c r="AD17">
        <f t="shared" si="5"/>
        <v>1.8036297116882485</v>
      </c>
      <c r="AE17">
        <f t="shared" si="6"/>
        <v>43</v>
      </c>
    </row>
    <row r="18" spans="1:31">
      <c r="A18" t="s">
        <v>33</v>
      </c>
      <c r="B18" t="s">
        <v>70</v>
      </c>
      <c r="C18" s="1">
        <v>7.5471721097912701</v>
      </c>
      <c r="D18">
        <v>74</v>
      </c>
      <c r="E18">
        <v>280</v>
      </c>
      <c r="F18" s="1">
        <v>6453.7979681762799</v>
      </c>
      <c r="G18" t="s">
        <v>35</v>
      </c>
      <c r="H18">
        <v>2</v>
      </c>
      <c r="I18">
        <v>5</v>
      </c>
      <c r="J18">
        <v>78</v>
      </c>
      <c r="K18">
        <v>1</v>
      </c>
      <c r="L18" t="s">
        <v>27</v>
      </c>
      <c r="M18">
        <v>4.1913245857054999</v>
      </c>
      <c r="N18" t="s">
        <v>39</v>
      </c>
      <c r="O18" t="s">
        <v>53</v>
      </c>
      <c r="P18">
        <v>3</v>
      </c>
      <c r="Q18">
        <v>399</v>
      </c>
      <c r="R18">
        <v>21</v>
      </c>
      <c r="S18">
        <v>77.106342497849994</v>
      </c>
      <c r="T18" t="s">
        <v>64</v>
      </c>
      <c r="U18">
        <v>1.01256308925804</v>
      </c>
      <c r="V18" t="s">
        <v>40</v>
      </c>
      <c r="W18" t="s">
        <v>48</v>
      </c>
      <c r="X18">
        <v>865.52577977123997</v>
      </c>
      <c r="Y18" t="str">
        <f t="shared" si="0"/>
        <v>On Time</v>
      </c>
      <c r="Z18" t="str">
        <f t="shared" si="1"/>
        <v>Critical</v>
      </c>
      <c r="AA18" t="str">
        <f t="shared" si="2"/>
        <v>Exceeds lead time</v>
      </c>
      <c r="AB18" t="str">
        <f t="shared" si="3"/>
        <v>Medium</v>
      </c>
      <c r="AC18">
        <f t="shared" si="4"/>
        <v>241628.16213306302</v>
      </c>
      <c r="AD18">
        <f t="shared" si="5"/>
        <v>1.8036297116882485</v>
      </c>
      <c r="AE18">
        <f t="shared" si="6"/>
        <v>43</v>
      </c>
    </row>
    <row r="19" spans="1:31">
      <c r="A19" t="s">
        <v>57</v>
      </c>
      <c r="B19" t="s">
        <v>71</v>
      </c>
      <c r="C19" s="1">
        <v>81.462534369237005</v>
      </c>
      <c r="D19">
        <v>82</v>
      </c>
      <c r="E19">
        <v>126</v>
      </c>
      <c r="F19" s="1">
        <v>2629.39643484526</v>
      </c>
      <c r="G19" t="s">
        <v>35</v>
      </c>
      <c r="H19">
        <v>45</v>
      </c>
      <c r="I19">
        <v>17</v>
      </c>
      <c r="J19">
        <v>85</v>
      </c>
      <c r="K19">
        <v>9</v>
      </c>
      <c r="L19" t="s">
        <v>43</v>
      </c>
      <c r="M19">
        <v>3.5854189582323399</v>
      </c>
      <c r="N19" t="s">
        <v>39</v>
      </c>
      <c r="O19" t="s">
        <v>62</v>
      </c>
      <c r="P19">
        <v>7</v>
      </c>
      <c r="Q19">
        <v>453</v>
      </c>
      <c r="R19">
        <v>16</v>
      </c>
      <c r="S19">
        <v>47.679680368355299</v>
      </c>
      <c r="T19" t="s">
        <v>46</v>
      </c>
      <c r="U19">
        <v>0.102020754918176</v>
      </c>
      <c r="V19" t="s">
        <v>40</v>
      </c>
      <c r="W19" t="s">
        <v>41</v>
      </c>
      <c r="X19">
        <v>670.93439079241</v>
      </c>
      <c r="Y19" t="str">
        <f t="shared" si="0"/>
        <v>Late</v>
      </c>
      <c r="Z19" t="str">
        <f t="shared" si="1"/>
        <v>Low</v>
      </c>
      <c r="AA19" t="str">
        <f t="shared" si="2"/>
        <v>Within lead time</v>
      </c>
      <c r="AB19" t="str">
        <f t="shared" si="3"/>
        <v>Low</v>
      </c>
      <c r="AC19">
        <f t="shared" si="4"/>
        <v>161521.26599948306</v>
      </c>
      <c r="AD19">
        <f t="shared" si="5"/>
        <v>1.8036297116882485</v>
      </c>
      <c r="AE19">
        <f t="shared" si="6"/>
        <v>29</v>
      </c>
    </row>
    <row r="20" spans="1:31">
      <c r="A20" t="s">
        <v>24</v>
      </c>
      <c r="B20" t="s">
        <v>72</v>
      </c>
      <c r="C20" s="1">
        <v>36.4436277704609</v>
      </c>
      <c r="D20">
        <v>23</v>
      </c>
      <c r="E20">
        <v>620</v>
      </c>
      <c r="F20" s="1">
        <v>9364.6735050761708</v>
      </c>
      <c r="G20" t="s">
        <v>38</v>
      </c>
      <c r="H20">
        <v>10</v>
      </c>
      <c r="I20">
        <v>10</v>
      </c>
      <c r="J20">
        <v>46</v>
      </c>
      <c r="K20">
        <v>8</v>
      </c>
      <c r="L20" t="s">
        <v>43</v>
      </c>
      <c r="M20">
        <v>4.3392247141107001</v>
      </c>
      <c r="N20" t="s">
        <v>61</v>
      </c>
      <c r="O20" t="s">
        <v>45</v>
      </c>
      <c r="P20">
        <v>18</v>
      </c>
      <c r="Q20">
        <v>374</v>
      </c>
      <c r="R20">
        <v>17</v>
      </c>
      <c r="S20">
        <v>27.107980854843898</v>
      </c>
      <c r="T20" t="s">
        <v>30</v>
      </c>
      <c r="U20">
        <v>2.2319391107292601</v>
      </c>
      <c r="V20" t="s">
        <v>56</v>
      </c>
      <c r="W20" t="s">
        <v>48</v>
      </c>
      <c r="X20">
        <v>593.48025872065102</v>
      </c>
      <c r="Y20" t="str">
        <f t="shared" si="0"/>
        <v>Late</v>
      </c>
      <c r="Z20" t="str">
        <f t="shared" si="1"/>
        <v>Critical</v>
      </c>
      <c r="AA20" t="str">
        <f t="shared" si="2"/>
        <v>Exceeds lead time</v>
      </c>
      <c r="AB20" t="str">
        <f t="shared" si="3"/>
        <v>High</v>
      </c>
      <c r="AC20">
        <f t="shared" si="4"/>
        <v>174455.39060546222</v>
      </c>
      <c r="AD20">
        <f t="shared" si="5"/>
        <v>2.3627501450718764</v>
      </c>
      <c r="AE20">
        <f t="shared" si="6"/>
        <v>29</v>
      </c>
    </row>
    <row r="21" spans="1:31">
      <c r="A21" t="s">
        <v>33</v>
      </c>
      <c r="B21" t="s">
        <v>73</v>
      </c>
      <c r="C21" s="1">
        <v>51.123870087964697</v>
      </c>
      <c r="D21">
        <v>100</v>
      </c>
      <c r="E21">
        <v>187</v>
      </c>
      <c r="F21" s="1">
        <v>2553.4955849912099</v>
      </c>
      <c r="G21" t="s">
        <v>38</v>
      </c>
      <c r="H21">
        <v>48</v>
      </c>
      <c r="I21">
        <v>11</v>
      </c>
      <c r="J21">
        <v>94</v>
      </c>
      <c r="K21">
        <v>3</v>
      </c>
      <c r="L21" t="s">
        <v>36</v>
      </c>
      <c r="M21">
        <v>4.7426358828418698</v>
      </c>
      <c r="N21" t="s">
        <v>52</v>
      </c>
      <c r="O21" t="s">
        <v>62</v>
      </c>
      <c r="P21">
        <v>20</v>
      </c>
      <c r="Q21">
        <v>694</v>
      </c>
      <c r="R21">
        <v>16</v>
      </c>
      <c r="S21">
        <v>82.373320587990193</v>
      </c>
      <c r="T21" t="s">
        <v>46</v>
      </c>
      <c r="U21">
        <v>3.64645086541702</v>
      </c>
      <c r="V21" t="s">
        <v>31</v>
      </c>
      <c r="W21" t="s">
        <v>41</v>
      </c>
      <c r="X21">
        <v>477.30763109090299</v>
      </c>
      <c r="Y21" t="str">
        <f t="shared" si="0"/>
        <v>On Time</v>
      </c>
      <c r="Z21" t="str">
        <f t="shared" si="1"/>
        <v>Low</v>
      </c>
      <c r="AA21" t="str">
        <f t="shared" si="2"/>
        <v>Exceeds lead time</v>
      </c>
      <c r="AB21" t="str">
        <f t="shared" si="3"/>
        <v>Low</v>
      </c>
      <c r="AC21">
        <f t="shared" si="4"/>
        <v>241628.16213306302</v>
      </c>
      <c r="AD21">
        <f t="shared" si="5"/>
        <v>2.3373974005913354</v>
      </c>
      <c r="AE21">
        <f t="shared" si="6"/>
        <v>28</v>
      </c>
    </row>
    <row r="22" spans="1:31">
      <c r="A22" t="s">
        <v>33</v>
      </c>
      <c r="B22" t="s">
        <v>74</v>
      </c>
      <c r="C22" s="1">
        <v>96.341072439963298</v>
      </c>
      <c r="D22">
        <v>22</v>
      </c>
      <c r="E22">
        <v>320</v>
      </c>
      <c r="F22" s="1">
        <v>8128.0276968511898</v>
      </c>
      <c r="G22" t="s">
        <v>38</v>
      </c>
      <c r="H22">
        <v>27</v>
      </c>
      <c r="I22">
        <v>12</v>
      </c>
      <c r="J22">
        <v>68</v>
      </c>
      <c r="K22">
        <v>6</v>
      </c>
      <c r="L22" t="s">
        <v>36</v>
      </c>
      <c r="M22">
        <v>8.8783346509268402</v>
      </c>
      <c r="N22" t="s">
        <v>39</v>
      </c>
      <c r="O22" t="s">
        <v>62</v>
      </c>
      <c r="P22">
        <v>29</v>
      </c>
      <c r="Q22">
        <v>309</v>
      </c>
      <c r="R22">
        <v>6</v>
      </c>
      <c r="S22">
        <v>65.686259608488598</v>
      </c>
      <c r="T22" t="s">
        <v>64</v>
      </c>
      <c r="U22">
        <v>4.2314165735345304</v>
      </c>
      <c r="V22" t="s">
        <v>40</v>
      </c>
      <c r="W22" t="s">
        <v>32</v>
      </c>
      <c r="X22">
        <v>493.871215316205</v>
      </c>
      <c r="Y22" t="str">
        <f t="shared" si="0"/>
        <v>On Time</v>
      </c>
      <c r="Z22" t="str">
        <f t="shared" si="1"/>
        <v>Low</v>
      </c>
      <c r="AA22" t="str">
        <f t="shared" si="2"/>
        <v>Within lead time</v>
      </c>
      <c r="AB22" t="str">
        <f t="shared" si="3"/>
        <v>High</v>
      </c>
      <c r="AC22">
        <f t="shared" si="4"/>
        <v>241628.16213306302</v>
      </c>
      <c r="AD22">
        <f t="shared" si="5"/>
        <v>1.8036297116882485</v>
      </c>
      <c r="AE22">
        <f t="shared" si="6"/>
        <v>28</v>
      </c>
    </row>
    <row r="23" spans="1:31">
      <c r="A23" t="s">
        <v>57</v>
      </c>
      <c r="B23" t="s">
        <v>75</v>
      </c>
      <c r="C23" s="1">
        <v>84.893868984950799</v>
      </c>
      <c r="D23">
        <v>60</v>
      </c>
      <c r="E23">
        <v>601</v>
      </c>
      <c r="F23" s="1">
        <v>7087.0526963574302</v>
      </c>
      <c r="G23" t="s">
        <v>38</v>
      </c>
      <c r="H23">
        <v>69</v>
      </c>
      <c r="I23">
        <v>25</v>
      </c>
      <c r="J23">
        <v>7</v>
      </c>
      <c r="K23">
        <v>6</v>
      </c>
      <c r="L23" t="s">
        <v>27</v>
      </c>
      <c r="M23">
        <v>6.0378837692182898</v>
      </c>
      <c r="N23" t="s">
        <v>44</v>
      </c>
      <c r="O23" t="s">
        <v>62</v>
      </c>
      <c r="P23">
        <v>19</v>
      </c>
      <c r="Q23">
        <v>791</v>
      </c>
      <c r="R23">
        <v>4</v>
      </c>
      <c r="S23">
        <v>61.735728954160898</v>
      </c>
      <c r="T23" t="s">
        <v>30</v>
      </c>
      <c r="U23">
        <v>1.8607567631014899E-2</v>
      </c>
      <c r="V23" t="s">
        <v>40</v>
      </c>
      <c r="W23" t="s">
        <v>41</v>
      </c>
      <c r="X23">
        <v>523.36091472015801</v>
      </c>
      <c r="Y23" t="str">
        <f t="shared" si="0"/>
        <v>On Time</v>
      </c>
      <c r="Z23" t="str">
        <f t="shared" si="1"/>
        <v>OK</v>
      </c>
      <c r="AA23" t="str">
        <f t="shared" si="2"/>
        <v>Within lead time</v>
      </c>
      <c r="AB23" t="str">
        <f t="shared" si="3"/>
        <v>Medium</v>
      </c>
      <c r="AC23">
        <f t="shared" si="4"/>
        <v>161521.26599948306</v>
      </c>
      <c r="AD23">
        <f t="shared" si="5"/>
        <v>2.6654083441491982</v>
      </c>
      <c r="AE23">
        <f t="shared" si="6"/>
        <v>43</v>
      </c>
    </row>
    <row r="24" spans="1:31">
      <c r="A24" t="s">
        <v>24</v>
      </c>
      <c r="B24" t="s">
        <v>76</v>
      </c>
      <c r="C24" s="1">
        <v>27.679780886501899</v>
      </c>
      <c r="D24">
        <v>55</v>
      </c>
      <c r="E24">
        <v>884</v>
      </c>
      <c r="F24" s="1">
        <v>2390.8078665561702</v>
      </c>
      <c r="G24" t="s">
        <v>38</v>
      </c>
      <c r="H24">
        <v>71</v>
      </c>
      <c r="I24">
        <v>1</v>
      </c>
      <c r="J24">
        <v>63</v>
      </c>
      <c r="K24">
        <v>10</v>
      </c>
      <c r="L24" t="s">
        <v>36</v>
      </c>
      <c r="M24">
        <v>9.5676489209230393</v>
      </c>
      <c r="N24" t="s">
        <v>52</v>
      </c>
      <c r="O24" t="s">
        <v>45</v>
      </c>
      <c r="P24">
        <v>22</v>
      </c>
      <c r="Q24">
        <v>780</v>
      </c>
      <c r="R24">
        <v>28</v>
      </c>
      <c r="S24">
        <v>50.120839612977299</v>
      </c>
      <c r="T24" t="s">
        <v>46</v>
      </c>
      <c r="U24">
        <v>2.5912754732111098</v>
      </c>
      <c r="V24" t="s">
        <v>47</v>
      </c>
      <c r="W24" t="s">
        <v>41</v>
      </c>
      <c r="X24">
        <v>205.57199582694699</v>
      </c>
      <c r="Y24" t="str">
        <f t="shared" si="0"/>
        <v>Late</v>
      </c>
      <c r="Z24" t="str">
        <f t="shared" si="1"/>
        <v>OK</v>
      </c>
      <c r="AA24" t="str">
        <f t="shared" si="2"/>
        <v>Exceeds lead time</v>
      </c>
      <c r="AB24" t="str">
        <f t="shared" si="3"/>
        <v>Low</v>
      </c>
      <c r="AC24">
        <f t="shared" si="4"/>
        <v>174455.39060546222</v>
      </c>
      <c r="AD24">
        <f t="shared" si="5"/>
        <v>2.3373974005913354</v>
      </c>
      <c r="AE24">
        <f t="shared" si="6"/>
        <v>28</v>
      </c>
    </row>
    <row r="25" spans="1:31">
      <c r="A25" t="s">
        <v>57</v>
      </c>
      <c r="B25" t="s">
        <v>77</v>
      </c>
      <c r="C25" s="1">
        <v>4.3243411858641601</v>
      </c>
      <c r="D25">
        <v>30</v>
      </c>
      <c r="E25">
        <v>391</v>
      </c>
      <c r="F25" s="1">
        <v>8858.3675710114803</v>
      </c>
      <c r="G25" t="s">
        <v>38</v>
      </c>
      <c r="H25">
        <v>84</v>
      </c>
      <c r="I25">
        <v>5</v>
      </c>
      <c r="J25">
        <v>29</v>
      </c>
      <c r="K25">
        <v>7</v>
      </c>
      <c r="L25" t="s">
        <v>36</v>
      </c>
      <c r="M25">
        <v>2.92485760114555</v>
      </c>
      <c r="N25" t="s">
        <v>44</v>
      </c>
      <c r="O25" t="s">
        <v>45</v>
      </c>
      <c r="P25">
        <v>11</v>
      </c>
      <c r="Q25">
        <v>568</v>
      </c>
      <c r="R25">
        <v>29</v>
      </c>
      <c r="S25">
        <v>98.6099572427038</v>
      </c>
      <c r="T25" t="s">
        <v>30</v>
      </c>
      <c r="U25">
        <v>1.3422915627227301</v>
      </c>
      <c r="V25" t="s">
        <v>47</v>
      </c>
      <c r="W25" t="s">
        <v>48</v>
      </c>
      <c r="X25">
        <v>196.329446112412</v>
      </c>
      <c r="Y25" t="str">
        <f t="shared" si="0"/>
        <v>On Time</v>
      </c>
      <c r="Z25" t="str">
        <f t="shared" si="1"/>
        <v>OK</v>
      </c>
      <c r="AA25" t="str">
        <f t="shared" si="2"/>
        <v>Exceeds lead time</v>
      </c>
      <c r="AB25" t="str">
        <f t="shared" si="3"/>
        <v>High</v>
      </c>
      <c r="AC25">
        <f t="shared" si="4"/>
        <v>161521.26599948306</v>
      </c>
      <c r="AD25">
        <f t="shared" si="5"/>
        <v>2.6654083441491982</v>
      </c>
      <c r="AE25">
        <f t="shared" si="6"/>
        <v>28</v>
      </c>
    </row>
    <row r="26" spans="1:31">
      <c r="A26" t="s">
        <v>24</v>
      </c>
      <c r="B26" t="s">
        <v>78</v>
      </c>
      <c r="C26" s="1">
        <v>4.1563083593111001</v>
      </c>
      <c r="D26">
        <v>32</v>
      </c>
      <c r="E26">
        <v>209</v>
      </c>
      <c r="F26" s="1">
        <v>9049.0778609398894</v>
      </c>
      <c r="G26" t="s">
        <v>55</v>
      </c>
      <c r="H26">
        <v>4</v>
      </c>
      <c r="I26">
        <v>26</v>
      </c>
      <c r="J26">
        <v>2</v>
      </c>
      <c r="K26">
        <v>8</v>
      </c>
      <c r="L26" t="s">
        <v>43</v>
      </c>
      <c r="M26">
        <v>9.7412916892843597</v>
      </c>
      <c r="N26" t="s">
        <v>61</v>
      </c>
      <c r="O26" t="s">
        <v>53</v>
      </c>
      <c r="P26">
        <v>28</v>
      </c>
      <c r="Q26">
        <v>447</v>
      </c>
      <c r="R26">
        <v>3</v>
      </c>
      <c r="S26">
        <v>40.382359702924802</v>
      </c>
      <c r="T26" t="s">
        <v>30</v>
      </c>
      <c r="U26">
        <v>3.69131029262872</v>
      </c>
      <c r="V26" t="s">
        <v>40</v>
      </c>
      <c r="W26" t="s">
        <v>48</v>
      </c>
      <c r="X26">
        <v>758.72477260293795</v>
      </c>
      <c r="Y26" t="str">
        <f t="shared" si="0"/>
        <v>Late</v>
      </c>
      <c r="Z26" t="str">
        <f t="shared" si="1"/>
        <v>Critical</v>
      </c>
      <c r="AA26" t="str">
        <f t="shared" si="2"/>
        <v>Within lead time</v>
      </c>
      <c r="AB26" t="str">
        <f t="shared" si="3"/>
        <v>High</v>
      </c>
      <c r="AC26">
        <f t="shared" si="4"/>
        <v>174455.39060546222</v>
      </c>
      <c r="AD26">
        <f t="shared" si="5"/>
        <v>2.3627501450718764</v>
      </c>
      <c r="AE26">
        <f t="shared" si="6"/>
        <v>29</v>
      </c>
    </row>
    <row r="27" spans="1:31">
      <c r="A27" t="s">
        <v>24</v>
      </c>
      <c r="B27" t="s">
        <v>79</v>
      </c>
      <c r="C27" s="1">
        <v>39.629343985092603</v>
      </c>
      <c r="D27">
        <v>73</v>
      </c>
      <c r="E27">
        <v>142</v>
      </c>
      <c r="F27" s="1">
        <v>2174.7770543506499</v>
      </c>
      <c r="G27" t="s">
        <v>55</v>
      </c>
      <c r="H27">
        <v>82</v>
      </c>
      <c r="I27">
        <v>11</v>
      </c>
      <c r="J27">
        <v>52</v>
      </c>
      <c r="K27">
        <v>3</v>
      </c>
      <c r="L27" t="s">
        <v>43</v>
      </c>
      <c r="M27">
        <v>2.2310736812817198</v>
      </c>
      <c r="N27" t="s">
        <v>52</v>
      </c>
      <c r="O27" t="s">
        <v>45</v>
      </c>
      <c r="P27">
        <v>19</v>
      </c>
      <c r="Q27">
        <v>934</v>
      </c>
      <c r="R27">
        <v>23</v>
      </c>
      <c r="S27">
        <v>78.280383118415301</v>
      </c>
      <c r="T27" t="s">
        <v>30</v>
      </c>
      <c r="U27">
        <v>3.79723121711418</v>
      </c>
      <c r="V27" t="s">
        <v>31</v>
      </c>
      <c r="W27" t="s">
        <v>32</v>
      </c>
      <c r="X27">
        <v>458.53594573920901</v>
      </c>
      <c r="Y27" t="str">
        <f t="shared" si="0"/>
        <v>On Time</v>
      </c>
      <c r="Z27" t="str">
        <f t="shared" si="1"/>
        <v>OK</v>
      </c>
      <c r="AA27" t="str">
        <f t="shared" si="2"/>
        <v>Exceeds lead time</v>
      </c>
      <c r="AB27" t="str">
        <f t="shared" si="3"/>
        <v>Low</v>
      </c>
      <c r="AC27">
        <f t="shared" si="4"/>
        <v>174455.39060546222</v>
      </c>
      <c r="AD27">
        <f t="shared" si="5"/>
        <v>2.3373974005913354</v>
      </c>
      <c r="AE27">
        <f t="shared" si="6"/>
        <v>29</v>
      </c>
    </row>
    <row r="28" spans="1:31">
      <c r="A28" t="s">
        <v>24</v>
      </c>
      <c r="B28" t="s">
        <v>80</v>
      </c>
      <c r="C28" s="1">
        <v>97.446946617892806</v>
      </c>
      <c r="D28">
        <v>9</v>
      </c>
      <c r="E28">
        <v>353</v>
      </c>
      <c r="F28" s="1">
        <v>3716.49332589403</v>
      </c>
      <c r="G28" t="s">
        <v>55</v>
      </c>
      <c r="H28">
        <v>59</v>
      </c>
      <c r="I28">
        <v>16</v>
      </c>
      <c r="J28">
        <v>48</v>
      </c>
      <c r="K28">
        <v>4</v>
      </c>
      <c r="L28" t="s">
        <v>27</v>
      </c>
      <c r="M28">
        <v>6.5075486210785503</v>
      </c>
      <c r="N28" t="s">
        <v>61</v>
      </c>
      <c r="O28" t="s">
        <v>53</v>
      </c>
      <c r="P28">
        <v>26</v>
      </c>
      <c r="Q28">
        <v>171</v>
      </c>
      <c r="R28">
        <v>4</v>
      </c>
      <c r="S28">
        <v>15.972229757181699</v>
      </c>
      <c r="T28" t="s">
        <v>64</v>
      </c>
      <c r="U28">
        <v>2.1193197367249201</v>
      </c>
      <c r="V28" t="s">
        <v>47</v>
      </c>
      <c r="W28" t="s">
        <v>48</v>
      </c>
      <c r="X28">
        <v>617.86691645837698</v>
      </c>
      <c r="Y28" t="str">
        <f t="shared" si="0"/>
        <v>On Time</v>
      </c>
      <c r="Z28" t="str">
        <f t="shared" si="1"/>
        <v>OK</v>
      </c>
      <c r="AA28" t="str">
        <f t="shared" si="2"/>
        <v>Within lead time</v>
      </c>
      <c r="AB28" t="str">
        <f t="shared" si="3"/>
        <v>Low</v>
      </c>
      <c r="AC28">
        <f t="shared" si="4"/>
        <v>174455.39060546222</v>
      </c>
      <c r="AD28">
        <f t="shared" si="5"/>
        <v>2.3627501450718764</v>
      </c>
      <c r="AE28">
        <f t="shared" si="6"/>
        <v>43</v>
      </c>
    </row>
    <row r="29" spans="1:31">
      <c r="A29" t="s">
        <v>57</v>
      </c>
      <c r="B29" t="s">
        <v>81</v>
      </c>
      <c r="C29" s="1">
        <v>92.557360812401996</v>
      </c>
      <c r="D29">
        <v>42</v>
      </c>
      <c r="E29">
        <v>352</v>
      </c>
      <c r="F29" s="1">
        <v>2686.4572235759802</v>
      </c>
      <c r="G29" t="s">
        <v>38</v>
      </c>
      <c r="H29">
        <v>47</v>
      </c>
      <c r="I29">
        <v>9</v>
      </c>
      <c r="J29">
        <v>62</v>
      </c>
      <c r="K29">
        <v>8</v>
      </c>
      <c r="L29" t="s">
        <v>43</v>
      </c>
      <c r="M29">
        <v>7.4067509529980704</v>
      </c>
      <c r="N29" t="s">
        <v>44</v>
      </c>
      <c r="O29" t="s">
        <v>29</v>
      </c>
      <c r="P29">
        <v>25</v>
      </c>
      <c r="Q29">
        <v>291</v>
      </c>
      <c r="R29">
        <v>4</v>
      </c>
      <c r="S29">
        <v>10.5282450700421</v>
      </c>
      <c r="T29" t="s">
        <v>46</v>
      </c>
      <c r="U29">
        <v>2.8646678378833701</v>
      </c>
      <c r="V29" t="s">
        <v>56</v>
      </c>
      <c r="W29" t="s">
        <v>32</v>
      </c>
      <c r="X29">
        <v>762.45918215568304</v>
      </c>
      <c r="Y29" t="str">
        <f t="shared" si="0"/>
        <v>Late</v>
      </c>
      <c r="Z29" t="str">
        <f t="shared" si="1"/>
        <v>Low</v>
      </c>
      <c r="AA29" t="str">
        <f t="shared" si="2"/>
        <v>Within lead time</v>
      </c>
      <c r="AB29" t="str">
        <f t="shared" si="3"/>
        <v>Low</v>
      </c>
      <c r="AC29">
        <f t="shared" si="4"/>
        <v>161521.26599948306</v>
      </c>
      <c r="AD29">
        <f t="shared" si="5"/>
        <v>2.6654083441491982</v>
      </c>
      <c r="AE29">
        <f t="shared" si="6"/>
        <v>29</v>
      </c>
    </row>
    <row r="30" spans="1:31">
      <c r="A30" t="s">
        <v>57</v>
      </c>
      <c r="B30" t="s">
        <v>82</v>
      </c>
      <c r="C30" s="1">
        <v>2.3972747055971402</v>
      </c>
      <c r="D30">
        <v>12</v>
      </c>
      <c r="E30">
        <v>394</v>
      </c>
      <c r="F30" s="1">
        <v>6117.3246150839896</v>
      </c>
      <c r="G30" t="s">
        <v>35</v>
      </c>
      <c r="H30">
        <v>48</v>
      </c>
      <c r="I30">
        <v>15</v>
      </c>
      <c r="J30">
        <v>24</v>
      </c>
      <c r="K30">
        <v>4</v>
      </c>
      <c r="L30" t="s">
        <v>27</v>
      </c>
      <c r="M30">
        <v>9.8981405080692202</v>
      </c>
      <c r="N30" t="s">
        <v>39</v>
      </c>
      <c r="O30" t="s">
        <v>29</v>
      </c>
      <c r="P30">
        <v>13</v>
      </c>
      <c r="Q30">
        <v>171</v>
      </c>
      <c r="R30">
        <v>7</v>
      </c>
      <c r="S30">
        <v>59.429381810691503</v>
      </c>
      <c r="T30" t="s">
        <v>46</v>
      </c>
      <c r="U30">
        <v>0.81575707929567198</v>
      </c>
      <c r="V30" t="s">
        <v>40</v>
      </c>
      <c r="W30" t="s">
        <v>48</v>
      </c>
      <c r="X30">
        <v>123.437027511827</v>
      </c>
      <c r="Y30" t="str">
        <f t="shared" si="0"/>
        <v>On Time</v>
      </c>
      <c r="Z30" t="str">
        <f t="shared" si="1"/>
        <v>Low</v>
      </c>
      <c r="AA30" t="str">
        <f t="shared" si="2"/>
        <v>Within lead time</v>
      </c>
      <c r="AB30" t="str">
        <f t="shared" si="3"/>
        <v>Medium</v>
      </c>
      <c r="AC30">
        <f t="shared" si="4"/>
        <v>161521.26599948306</v>
      </c>
      <c r="AD30">
        <f t="shared" si="5"/>
        <v>1.8036297116882485</v>
      </c>
      <c r="AE30">
        <f t="shared" si="6"/>
        <v>43</v>
      </c>
    </row>
    <row r="31" spans="1:31">
      <c r="A31" t="s">
        <v>57</v>
      </c>
      <c r="B31" t="s">
        <v>83</v>
      </c>
      <c r="C31" s="1">
        <v>63.447559185207297</v>
      </c>
      <c r="D31">
        <v>3</v>
      </c>
      <c r="E31">
        <v>253</v>
      </c>
      <c r="F31" s="1">
        <v>8318.9031946171708</v>
      </c>
      <c r="G31" t="s">
        <v>35</v>
      </c>
      <c r="H31">
        <v>45</v>
      </c>
      <c r="I31">
        <v>5</v>
      </c>
      <c r="J31">
        <v>67</v>
      </c>
      <c r="K31">
        <v>7</v>
      </c>
      <c r="L31" t="s">
        <v>27</v>
      </c>
      <c r="M31">
        <v>8.1009731453970293</v>
      </c>
      <c r="N31" t="s">
        <v>39</v>
      </c>
      <c r="O31" t="s">
        <v>45</v>
      </c>
      <c r="P31">
        <v>16</v>
      </c>
      <c r="Q31">
        <v>329</v>
      </c>
      <c r="R31">
        <v>7</v>
      </c>
      <c r="S31">
        <v>39.292875586065698</v>
      </c>
      <c r="T31" t="s">
        <v>64</v>
      </c>
      <c r="U31">
        <v>3.8780989365884802</v>
      </c>
      <c r="V31" t="s">
        <v>31</v>
      </c>
      <c r="W31" t="s">
        <v>32</v>
      </c>
      <c r="X31">
        <v>764.93537594070801</v>
      </c>
      <c r="Y31" t="str">
        <f t="shared" si="0"/>
        <v>On Time</v>
      </c>
      <c r="Z31" t="str">
        <f t="shared" si="1"/>
        <v>Low</v>
      </c>
      <c r="AA31" t="str">
        <f t="shared" si="2"/>
        <v>Exceeds lead time</v>
      </c>
      <c r="AB31" t="str">
        <f t="shared" si="3"/>
        <v>High</v>
      </c>
      <c r="AC31">
        <f t="shared" si="4"/>
        <v>161521.26599948306</v>
      </c>
      <c r="AD31">
        <f t="shared" si="5"/>
        <v>1.8036297116882485</v>
      </c>
      <c r="AE31">
        <f t="shared" si="6"/>
        <v>43</v>
      </c>
    </row>
    <row r="32" spans="1:31">
      <c r="A32" t="s">
        <v>24</v>
      </c>
      <c r="B32" t="s">
        <v>84</v>
      </c>
      <c r="C32" s="1">
        <v>8.0228592105263896</v>
      </c>
      <c r="D32">
        <v>10</v>
      </c>
      <c r="E32">
        <v>327</v>
      </c>
      <c r="F32" s="1">
        <v>2766.3423668660798</v>
      </c>
      <c r="G32" t="s">
        <v>55</v>
      </c>
      <c r="H32">
        <v>60</v>
      </c>
      <c r="I32">
        <v>26</v>
      </c>
      <c r="J32">
        <v>35</v>
      </c>
      <c r="K32">
        <v>7</v>
      </c>
      <c r="L32" t="s">
        <v>27</v>
      </c>
      <c r="M32">
        <v>8.9545283153180097</v>
      </c>
      <c r="N32" t="s">
        <v>52</v>
      </c>
      <c r="O32" t="s">
        <v>45</v>
      </c>
      <c r="P32">
        <v>27</v>
      </c>
      <c r="Q32">
        <v>806</v>
      </c>
      <c r="R32">
        <v>30</v>
      </c>
      <c r="S32">
        <v>51.634893400109299</v>
      </c>
      <c r="T32" t="s">
        <v>30</v>
      </c>
      <c r="U32">
        <v>0.96539470535239302</v>
      </c>
      <c r="V32" t="s">
        <v>31</v>
      </c>
      <c r="W32" t="s">
        <v>41</v>
      </c>
      <c r="X32">
        <v>880.08098824716103</v>
      </c>
      <c r="Y32" t="str">
        <f t="shared" si="0"/>
        <v>On Time</v>
      </c>
      <c r="Z32" t="str">
        <f t="shared" si="1"/>
        <v>OK</v>
      </c>
      <c r="AA32" t="str">
        <f t="shared" si="2"/>
        <v>Exceeds lead time</v>
      </c>
      <c r="AB32" t="str">
        <f t="shared" si="3"/>
        <v>Low</v>
      </c>
      <c r="AC32">
        <f t="shared" si="4"/>
        <v>174455.39060546222</v>
      </c>
      <c r="AD32">
        <f t="shared" si="5"/>
        <v>2.3373974005913354</v>
      </c>
      <c r="AE32">
        <f t="shared" si="6"/>
        <v>43</v>
      </c>
    </row>
    <row r="33" spans="1:31">
      <c r="A33" t="s">
        <v>33</v>
      </c>
      <c r="B33" t="s">
        <v>85</v>
      </c>
      <c r="C33" s="1">
        <v>50.847393051718697</v>
      </c>
      <c r="D33">
        <v>28</v>
      </c>
      <c r="E33">
        <v>168</v>
      </c>
      <c r="F33" s="1">
        <v>9655.1351027193905</v>
      </c>
      <c r="G33" t="s">
        <v>55</v>
      </c>
      <c r="H33">
        <v>6</v>
      </c>
      <c r="I33">
        <v>17</v>
      </c>
      <c r="J33">
        <v>44</v>
      </c>
      <c r="K33">
        <v>4</v>
      </c>
      <c r="L33" t="s">
        <v>27</v>
      </c>
      <c r="M33">
        <v>2.6796609649813998</v>
      </c>
      <c r="N33" t="s">
        <v>28</v>
      </c>
      <c r="O33" t="s">
        <v>62</v>
      </c>
      <c r="P33">
        <v>24</v>
      </c>
      <c r="Q33">
        <v>461</v>
      </c>
      <c r="R33">
        <v>8</v>
      </c>
      <c r="S33">
        <v>60.251145661598002</v>
      </c>
      <c r="T33" t="s">
        <v>30</v>
      </c>
      <c r="U33">
        <v>2.9890000066550702</v>
      </c>
      <c r="V33" t="s">
        <v>47</v>
      </c>
      <c r="W33" t="s">
        <v>41</v>
      </c>
      <c r="X33">
        <v>609.379206618426</v>
      </c>
      <c r="Y33" t="str">
        <f t="shared" si="0"/>
        <v>On Time</v>
      </c>
      <c r="Z33" t="str">
        <f t="shared" si="1"/>
        <v>Critical</v>
      </c>
      <c r="AA33" t="str">
        <f t="shared" si="2"/>
        <v>Within lead time</v>
      </c>
      <c r="AB33" t="str">
        <f t="shared" si="3"/>
        <v>High</v>
      </c>
      <c r="AC33">
        <f t="shared" si="4"/>
        <v>241628.16213306302</v>
      </c>
      <c r="AD33">
        <f t="shared" si="5"/>
        <v>2.4657860307644657</v>
      </c>
      <c r="AE33">
        <f t="shared" si="6"/>
        <v>43</v>
      </c>
    </row>
    <row r="34" spans="1:31">
      <c r="A34" t="s">
        <v>33</v>
      </c>
      <c r="B34" t="s">
        <v>86</v>
      </c>
      <c r="C34" s="1">
        <v>79.209936015656695</v>
      </c>
      <c r="D34">
        <v>43</v>
      </c>
      <c r="E34">
        <v>781</v>
      </c>
      <c r="F34" s="1">
        <v>9571.5504873278096</v>
      </c>
      <c r="G34" t="s">
        <v>38</v>
      </c>
      <c r="H34">
        <v>89</v>
      </c>
      <c r="I34">
        <v>13</v>
      </c>
      <c r="J34">
        <v>64</v>
      </c>
      <c r="K34">
        <v>4</v>
      </c>
      <c r="L34" t="s">
        <v>43</v>
      </c>
      <c r="M34">
        <v>6.5991049012385803</v>
      </c>
      <c r="N34" t="s">
        <v>28</v>
      </c>
      <c r="O34" t="s">
        <v>45</v>
      </c>
      <c r="P34">
        <v>30</v>
      </c>
      <c r="Q34">
        <v>737</v>
      </c>
      <c r="R34">
        <v>7</v>
      </c>
      <c r="S34">
        <v>29.6924671537497</v>
      </c>
      <c r="T34" t="s">
        <v>64</v>
      </c>
      <c r="U34">
        <v>1.94603611938611</v>
      </c>
      <c r="V34" t="s">
        <v>31</v>
      </c>
      <c r="W34" t="s">
        <v>48</v>
      </c>
      <c r="X34">
        <v>761.17390951487698</v>
      </c>
      <c r="Y34" t="str">
        <f t="shared" si="0"/>
        <v>On Time</v>
      </c>
      <c r="Z34" t="str">
        <f t="shared" si="1"/>
        <v>OK</v>
      </c>
      <c r="AA34" t="str">
        <f t="shared" si="2"/>
        <v>Within lead time</v>
      </c>
      <c r="AB34" t="str">
        <f t="shared" si="3"/>
        <v>High</v>
      </c>
      <c r="AC34">
        <f t="shared" si="4"/>
        <v>241628.16213306302</v>
      </c>
      <c r="AD34">
        <f t="shared" si="5"/>
        <v>2.4657860307644657</v>
      </c>
      <c r="AE34">
        <f t="shared" si="6"/>
        <v>29</v>
      </c>
    </row>
    <row r="35" spans="1:31">
      <c r="A35" t="s">
        <v>57</v>
      </c>
      <c r="B35" t="s">
        <v>87</v>
      </c>
      <c r="C35" s="1">
        <v>64.795435000155607</v>
      </c>
      <c r="D35">
        <v>63</v>
      </c>
      <c r="E35">
        <v>616</v>
      </c>
      <c r="F35" s="1">
        <v>5149.9983504080301</v>
      </c>
      <c r="G35" t="s">
        <v>26</v>
      </c>
      <c r="H35">
        <v>4</v>
      </c>
      <c r="I35">
        <v>17</v>
      </c>
      <c r="J35">
        <v>95</v>
      </c>
      <c r="K35">
        <v>9</v>
      </c>
      <c r="L35" t="s">
        <v>43</v>
      </c>
      <c r="M35">
        <v>4.85827050343664</v>
      </c>
      <c r="N35" t="s">
        <v>44</v>
      </c>
      <c r="O35" t="s">
        <v>62</v>
      </c>
      <c r="P35">
        <v>1</v>
      </c>
      <c r="Q35">
        <v>251</v>
      </c>
      <c r="R35">
        <v>23</v>
      </c>
      <c r="S35">
        <v>23.853427512896101</v>
      </c>
      <c r="T35" t="s">
        <v>46</v>
      </c>
      <c r="U35">
        <v>3.54104601225092</v>
      </c>
      <c r="V35" t="s">
        <v>56</v>
      </c>
      <c r="W35" t="s">
        <v>48</v>
      </c>
      <c r="X35">
        <v>371.25529551987103</v>
      </c>
      <c r="Y35" t="str">
        <f t="shared" si="0"/>
        <v>Late</v>
      </c>
      <c r="Z35" t="str">
        <f t="shared" si="1"/>
        <v>Critical</v>
      </c>
      <c r="AA35" t="str">
        <f t="shared" si="2"/>
        <v>Exceeds lead time</v>
      </c>
      <c r="AB35" t="str">
        <f t="shared" si="3"/>
        <v>Medium</v>
      </c>
      <c r="AC35">
        <f t="shared" si="4"/>
        <v>161521.26599948306</v>
      </c>
      <c r="AD35">
        <f t="shared" si="5"/>
        <v>2.6654083441491982</v>
      </c>
      <c r="AE35">
        <f t="shared" si="6"/>
        <v>29</v>
      </c>
    </row>
    <row r="36" spans="1:31">
      <c r="A36" t="s">
        <v>33</v>
      </c>
      <c r="B36" t="s">
        <v>88</v>
      </c>
      <c r="C36" s="1">
        <v>37.467592329842397</v>
      </c>
      <c r="D36">
        <v>96</v>
      </c>
      <c r="E36">
        <v>602</v>
      </c>
      <c r="F36" s="1">
        <v>9061.7108955077201</v>
      </c>
      <c r="G36" t="s">
        <v>38</v>
      </c>
      <c r="H36">
        <v>1</v>
      </c>
      <c r="I36">
        <v>26</v>
      </c>
      <c r="J36">
        <v>21</v>
      </c>
      <c r="K36">
        <v>7</v>
      </c>
      <c r="L36" t="s">
        <v>36</v>
      </c>
      <c r="M36">
        <v>1.0194875708221101</v>
      </c>
      <c r="N36" t="s">
        <v>39</v>
      </c>
      <c r="O36" t="s">
        <v>62</v>
      </c>
      <c r="P36">
        <v>4</v>
      </c>
      <c r="Q36">
        <v>452</v>
      </c>
      <c r="R36">
        <v>10</v>
      </c>
      <c r="S36">
        <v>10.754272815029299</v>
      </c>
      <c r="T36" t="s">
        <v>64</v>
      </c>
      <c r="U36">
        <v>0.64660455937205397</v>
      </c>
      <c r="V36" t="s">
        <v>31</v>
      </c>
      <c r="W36" t="s">
        <v>32</v>
      </c>
      <c r="X36">
        <v>510.35800043352299</v>
      </c>
      <c r="Y36" t="str">
        <f t="shared" si="0"/>
        <v>On Time</v>
      </c>
      <c r="Z36" t="str">
        <f t="shared" si="1"/>
        <v>Critical</v>
      </c>
      <c r="AA36" t="str">
        <f t="shared" si="2"/>
        <v>Within lead time</v>
      </c>
      <c r="AB36" t="str">
        <f t="shared" si="3"/>
        <v>High</v>
      </c>
      <c r="AC36">
        <f t="shared" si="4"/>
        <v>241628.16213306302</v>
      </c>
      <c r="AD36">
        <f t="shared" si="5"/>
        <v>1.8036297116882485</v>
      </c>
      <c r="AE36">
        <f t="shared" si="6"/>
        <v>28</v>
      </c>
    </row>
    <row r="37" spans="1:31">
      <c r="A37" t="s">
        <v>57</v>
      </c>
      <c r="B37" t="s">
        <v>89</v>
      </c>
      <c r="C37" s="1">
        <v>84.957786816350406</v>
      </c>
      <c r="D37">
        <v>11</v>
      </c>
      <c r="E37">
        <v>449</v>
      </c>
      <c r="F37" s="1">
        <v>6541.3293448024597</v>
      </c>
      <c r="G37" t="s">
        <v>35</v>
      </c>
      <c r="H37">
        <v>42</v>
      </c>
      <c r="I37">
        <v>27</v>
      </c>
      <c r="J37">
        <v>85</v>
      </c>
      <c r="K37">
        <v>8</v>
      </c>
      <c r="L37" t="s">
        <v>43</v>
      </c>
      <c r="M37">
        <v>5.2881899903273997</v>
      </c>
      <c r="N37" t="s">
        <v>39</v>
      </c>
      <c r="O37" t="s">
        <v>50</v>
      </c>
      <c r="P37">
        <v>3</v>
      </c>
      <c r="Q37">
        <v>367</v>
      </c>
      <c r="R37">
        <v>2</v>
      </c>
      <c r="S37">
        <v>58.004787044743701</v>
      </c>
      <c r="T37" t="s">
        <v>64</v>
      </c>
      <c r="U37">
        <v>0.54115409806058101</v>
      </c>
      <c r="V37" t="s">
        <v>56</v>
      </c>
      <c r="W37" t="s">
        <v>41</v>
      </c>
      <c r="X37">
        <v>553.42047123035502</v>
      </c>
      <c r="Y37" t="str">
        <f t="shared" si="0"/>
        <v>Late</v>
      </c>
      <c r="Z37" t="str">
        <f t="shared" si="1"/>
        <v>Low</v>
      </c>
      <c r="AA37" t="str">
        <f t="shared" si="2"/>
        <v>Within lead time</v>
      </c>
      <c r="AB37" t="str">
        <f t="shared" si="3"/>
        <v>Medium</v>
      </c>
      <c r="AC37">
        <f t="shared" si="4"/>
        <v>161521.26599948306</v>
      </c>
      <c r="AD37">
        <f t="shared" si="5"/>
        <v>1.8036297116882485</v>
      </c>
      <c r="AE37">
        <f t="shared" si="6"/>
        <v>29</v>
      </c>
    </row>
    <row r="38" spans="1:31">
      <c r="A38" t="s">
        <v>33</v>
      </c>
      <c r="B38" t="s">
        <v>90</v>
      </c>
      <c r="C38" s="1">
        <v>9.81300257875405</v>
      </c>
      <c r="D38">
        <v>34</v>
      </c>
      <c r="E38">
        <v>963</v>
      </c>
      <c r="F38" s="1">
        <v>7573.4024578487297</v>
      </c>
      <c r="G38" t="s">
        <v>35</v>
      </c>
      <c r="H38">
        <v>18</v>
      </c>
      <c r="I38">
        <v>23</v>
      </c>
      <c r="J38">
        <v>28</v>
      </c>
      <c r="K38">
        <v>3</v>
      </c>
      <c r="L38" t="s">
        <v>27</v>
      </c>
      <c r="M38">
        <v>2.1079512671590801</v>
      </c>
      <c r="N38" t="s">
        <v>61</v>
      </c>
      <c r="O38" t="s">
        <v>50</v>
      </c>
      <c r="P38">
        <v>26</v>
      </c>
      <c r="Q38">
        <v>671</v>
      </c>
      <c r="R38">
        <v>19</v>
      </c>
      <c r="S38">
        <v>45.531364237162101</v>
      </c>
      <c r="T38" t="s">
        <v>46</v>
      </c>
      <c r="U38">
        <v>3.8055333792433501</v>
      </c>
      <c r="V38" t="s">
        <v>40</v>
      </c>
      <c r="W38" t="s">
        <v>41</v>
      </c>
      <c r="X38">
        <v>403.80897424817999</v>
      </c>
      <c r="Y38" t="str">
        <f t="shared" si="0"/>
        <v>On Time</v>
      </c>
      <c r="Z38" t="str">
        <f t="shared" si="1"/>
        <v>Critical</v>
      </c>
      <c r="AA38" t="str">
        <f t="shared" si="2"/>
        <v>Within lead time</v>
      </c>
      <c r="AB38" t="str">
        <f t="shared" si="3"/>
        <v>Medium</v>
      </c>
      <c r="AC38">
        <f t="shared" si="4"/>
        <v>241628.16213306302</v>
      </c>
      <c r="AD38">
        <f t="shared" si="5"/>
        <v>2.3627501450718764</v>
      </c>
      <c r="AE38">
        <f t="shared" si="6"/>
        <v>43</v>
      </c>
    </row>
    <row r="39" spans="1:31">
      <c r="A39" t="s">
        <v>33</v>
      </c>
      <c r="B39" t="s">
        <v>91</v>
      </c>
      <c r="C39" s="1">
        <v>23.3998447526143</v>
      </c>
      <c r="D39">
        <v>5</v>
      </c>
      <c r="E39">
        <v>963</v>
      </c>
      <c r="F39" s="1">
        <v>2438.3399304700201</v>
      </c>
      <c r="G39" t="s">
        <v>35</v>
      </c>
      <c r="H39">
        <v>25</v>
      </c>
      <c r="I39">
        <v>8</v>
      </c>
      <c r="J39">
        <v>21</v>
      </c>
      <c r="K39">
        <v>9</v>
      </c>
      <c r="L39" t="s">
        <v>36</v>
      </c>
      <c r="M39">
        <v>1.53265527359043</v>
      </c>
      <c r="N39" t="s">
        <v>28</v>
      </c>
      <c r="O39" t="s">
        <v>45</v>
      </c>
      <c r="P39">
        <v>24</v>
      </c>
      <c r="Q39">
        <v>867</v>
      </c>
      <c r="R39">
        <v>15</v>
      </c>
      <c r="S39">
        <v>34.343277465075303</v>
      </c>
      <c r="T39" t="s">
        <v>30</v>
      </c>
      <c r="U39">
        <v>2.61028808484811</v>
      </c>
      <c r="V39" t="s">
        <v>56</v>
      </c>
      <c r="W39" t="s">
        <v>48</v>
      </c>
      <c r="X39">
        <v>183.932968043594</v>
      </c>
      <c r="Y39" t="str">
        <f t="shared" si="0"/>
        <v>Late</v>
      </c>
      <c r="Z39" t="str">
        <f t="shared" si="1"/>
        <v>Low</v>
      </c>
      <c r="AA39" t="str">
        <f t="shared" si="2"/>
        <v>Exceeds lead time</v>
      </c>
      <c r="AB39" t="str">
        <f t="shared" si="3"/>
        <v>Low</v>
      </c>
      <c r="AC39">
        <f t="shared" si="4"/>
        <v>241628.16213306302</v>
      </c>
      <c r="AD39">
        <f t="shared" si="5"/>
        <v>2.4657860307644657</v>
      </c>
      <c r="AE39">
        <f t="shared" si="6"/>
        <v>28</v>
      </c>
    </row>
    <row r="40" spans="1:31">
      <c r="A40" t="s">
        <v>57</v>
      </c>
      <c r="B40" t="s">
        <v>92</v>
      </c>
      <c r="C40" s="1">
        <v>52.075930682707799</v>
      </c>
      <c r="D40">
        <v>75</v>
      </c>
      <c r="E40">
        <v>705</v>
      </c>
      <c r="F40" s="1">
        <v>9692.3180402184298</v>
      </c>
      <c r="G40" t="s">
        <v>26</v>
      </c>
      <c r="H40">
        <v>69</v>
      </c>
      <c r="I40">
        <v>1</v>
      </c>
      <c r="J40">
        <v>88</v>
      </c>
      <c r="K40">
        <v>5</v>
      </c>
      <c r="L40" t="s">
        <v>27</v>
      </c>
      <c r="M40">
        <v>9.2359314372492207</v>
      </c>
      <c r="N40" t="s">
        <v>44</v>
      </c>
      <c r="O40" t="s">
        <v>29</v>
      </c>
      <c r="P40">
        <v>10</v>
      </c>
      <c r="Q40">
        <v>841</v>
      </c>
      <c r="R40">
        <v>12</v>
      </c>
      <c r="S40">
        <v>5.9306936455283097</v>
      </c>
      <c r="T40" t="s">
        <v>30</v>
      </c>
      <c r="U40">
        <v>0.613326899164507</v>
      </c>
      <c r="V40" t="s">
        <v>40</v>
      </c>
      <c r="W40" t="s">
        <v>32</v>
      </c>
      <c r="X40">
        <v>339.67286994860598</v>
      </c>
      <c r="Y40" t="str">
        <f t="shared" si="0"/>
        <v>On Time</v>
      </c>
      <c r="Z40" t="str">
        <f t="shared" si="1"/>
        <v>OK</v>
      </c>
      <c r="AA40" t="str">
        <f t="shared" si="2"/>
        <v>Exceeds lead time</v>
      </c>
      <c r="AB40" t="str">
        <f t="shared" si="3"/>
        <v>High</v>
      </c>
      <c r="AC40">
        <f t="shared" si="4"/>
        <v>161521.26599948306</v>
      </c>
      <c r="AD40">
        <f t="shared" si="5"/>
        <v>2.6654083441491982</v>
      </c>
      <c r="AE40">
        <f t="shared" si="6"/>
        <v>43</v>
      </c>
    </row>
    <row r="41" spans="1:31">
      <c r="A41" t="s">
        <v>33</v>
      </c>
      <c r="B41" t="s">
        <v>93</v>
      </c>
      <c r="C41" s="1">
        <v>19.127477265823199</v>
      </c>
      <c r="D41">
        <v>26</v>
      </c>
      <c r="E41">
        <v>176</v>
      </c>
      <c r="F41" s="1">
        <v>1912.4656631007599</v>
      </c>
      <c r="G41" t="s">
        <v>35</v>
      </c>
      <c r="H41">
        <v>78</v>
      </c>
      <c r="I41">
        <v>29</v>
      </c>
      <c r="J41">
        <v>34</v>
      </c>
      <c r="K41">
        <v>3</v>
      </c>
      <c r="L41" t="s">
        <v>36</v>
      </c>
      <c r="M41">
        <v>5.5625037788303802</v>
      </c>
      <c r="N41" t="s">
        <v>61</v>
      </c>
      <c r="O41" t="s">
        <v>45</v>
      </c>
      <c r="P41">
        <v>30</v>
      </c>
      <c r="Q41">
        <v>791</v>
      </c>
      <c r="R41">
        <v>6</v>
      </c>
      <c r="S41">
        <v>9.0058074287816403</v>
      </c>
      <c r="T41" t="s">
        <v>46</v>
      </c>
      <c r="U41">
        <v>1.4519722039968099</v>
      </c>
      <c r="V41" t="s">
        <v>40</v>
      </c>
      <c r="W41" t="s">
        <v>32</v>
      </c>
      <c r="X41">
        <v>653.67299455203295</v>
      </c>
      <c r="Y41" t="str">
        <f t="shared" si="0"/>
        <v>On Time</v>
      </c>
      <c r="Z41" t="str">
        <f t="shared" si="1"/>
        <v>OK</v>
      </c>
      <c r="AA41" t="str">
        <f t="shared" si="2"/>
        <v>Within lead time</v>
      </c>
      <c r="AB41" t="str">
        <f t="shared" si="3"/>
        <v>Low</v>
      </c>
      <c r="AC41">
        <f t="shared" si="4"/>
        <v>241628.16213306302</v>
      </c>
      <c r="AD41">
        <f t="shared" si="5"/>
        <v>2.3627501450718764</v>
      </c>
      <c r="AE41">
        <f t="shared" si="6"/>
        <v>28</v>
      </c>
    </row>
    <row r="42" spans="1:31">
      <c r="A42" t="s">
        <v>33</v>
      </c>
      <c r="B42" t="s">
        <v>94</v>
      </c>
      <c r="C42" s="1">
        <v>80.541424170940303</v>
      </c>
      <c r="D42">
        <v>97</v>
      </c>
      <c r="E42">
        <v>933</v>
      </c>
      <c r="F42" s="1">
        <v>5724.9593504562599</v>
      </c>
      <c r="G42" t="s">
        <v>35</v>
      </c>
      <c r="H42">
        <v>90</v>
      </c>
      <c r="I42">
        <v>20</v>
      </c>
      <c r="J42">
        <v>39</v>
      </c>
      <c r="K42">
        <v>8</v>
      </c>
      <c r="L42" t="s">
        <v>43</v>
      </c>
      <c r="M42">
        <v>7.2295951397364702</v>
      </c>
      <c r="N42" t="s">
        <v>39</v>
      </c>
      <c r="O42" t="s">
        <v>45</v>
      </c>
      <c r="P42">
        <v>18</v>
      </c>
      <c r="Q42">
        <v>793</v>
      </c>
      <c r="R42">
        <v>1</v>
      </c>
      <c r="S42">
        <v>88.179407104217404</v>
      </c>
      <c r="T42" t="s">
        <v>30</v>
      </c>
      <c r="U42">
        <v>4.2132694305865597</v>
      </c>
      <c r="V42" t="s">
        <v>31</v>
      </c>
      <c r="W42" t="s">
        <v>48</v>
      </c>
      <c r="X42">
        <v>529.80872398069096</v>
      </c>
      <c r="Y42" t="str">
        <f t="shared" si="0"/>
        <v>Late</v>
      </c>
      <c r="Z42" t="str">
        <f t="shared" si="1"/>
        <v>OK</v>
      </c>
      <c r="AA42" t="str">
        <f t="shared" si="2"/>
        <v>Within lead time</v>
      </c>
      <c r="AB42" t="str">
        <f t="shared" si="3"/>
        <v>Medium</v>
      </c>
      <c r="AC42">
        <f t="shared" si="4"/>
        <v>241628.16213306302</v>
      </c>
      <c r="AD42">
        <f t="shared" si="5"/>
        <v>1.8036297116882485</v>
      </c>
      <c r="AE42">
        <f t="shared" si="6"/>
        <v>29</v>
      </c>
    </row>
    <row r="43" spans="1:31">
      <c r="A43" t="s">
        <v>33</v>
      </c>
      <c r="B43" t="s">
        <v>95</v>
      </c>
      <c r="C43" s="1">
        <v>99.113291615317095</v>
      </c>
      <c r="D43">
        <v>35</v>
      </c>
      <c r="E43">
        <v>556</v>
      </c>
      <c r="F43" s="1">
        <v>5521.2052590109697</v>
      </c>
      <c r="G43" t="s">
        <v>35</v>
      </c>
      <c r="H43">
        <v>64</v>
      </c>
      <c r="I43">
        <v>19</v>
      </c>
      <c r="J43">
        <v>38</v>
      </c>
      <c r="K43">
        <v>8</v>
      </c>
      <c r="L43" t="s">
        <v>27</v>
      </c>
      <c r="M43">
        <v>5.7732637437666501</v>
      </c>
      <c r="N43" t="s">
        <v>52</v>
      </c>
      <c r="O43" t="s">
        <v>62</v>
      </c>
      <c r="P43">
        <v>18</v>
      </c>
      <c r="Q43">
        <v>892</v>
      </c>
      <c r="R43">
        <v>7</v>
      </c>
      <c r="S43">
        <v>95.332064548772493</v>
      </c>
      <c r="T43" t="s">
        <v>46</v>
      </c>
      <c r="U43">
        <v>4.5302262398259602E-2</v>
      </c>
      <c r="V43" t="s">
        <v>56</v>
      </c>
      <c r="W43" t="s">
        <v>48</v>
      </c>
      <c r="X43">
        <v>275.52437113130901</v>
      </c>
      <c r="Y43" t="str">
        <f t="shared" si="0"/>
        <v>Late</v>
      </c>
      <c r="Z43" t="str">
        <f t="shared" si="1"/>
        <v>OK</v>
      </c>
      <c r="AA43" t="str">
        <f t="shared" si="2"/>
        <v>Within lead time</v>
      </c>
      <c r="AB43" t="str">
        <f t="shared" si="3"/>
        <v>Medium</v>
      </c>
      <c r="AC43">
        <f t="shared" si="4"/>
        <v>241628.16213306302</v>
      </c>
      <c r="AD43">
        <f t="shared" si="5"/>
        <v>2.3373974005913354</v>
      </c>
      <c r="AE43">
        <f t="shared" si="6"/>
        <v>43</v>
      </c>
    </row>
    <row r="44" spans="1:31">
      <c r="A44" t="s">
        <v>33</v>
      </c>
      <c r="B44" t="s">
        <v>96</v>
      </c>
      <c r="C44" s="1">
        <v>46.529167614516702</v>
      </c>
      <c r="D44">
        <v>98</v>
      </c>
      <c r="E44">
        <v>155</v>
      </c>
      <c r="F44" s="1">
        <v>1839.60942585676</v>
      </c>
      <c r="G44" t="s">
        <v>35</v>
      </c>
      <c r="H44">
        <v>22</v>
      </c>
      <c r="I44">
        <v>27</v>
      </c>
      <c r="J44">
        <v>57</v>
      </c>
      <c r="K44">
        <v>4</v>
      </c>
      <c r="L44" t="s">
        <v>43</v>
      </c>
      <c r="M44">
        <v>7.5262483268515004</v>
      </c>
      <c r="N44" t="s">
        <v>44</v>
      </c>
      <c r="O44" t="s">
        <v>53</v>
      </c>
      <c r="P44">
        <v>26</v>
      </c>
      <c r="Q44">
        <v>179</v>
      </c>
      <c r="R44">
        <v>7</v>
      </c>
      <c r="S44">
        <v>96.422820639571796</v>
      </c>
      <c r="T44" t="s">
        <v>46</v>
      </c>
      <c r="U44">
        <v>4.9392552886209398</v>
      </c>
      <c r="V44" t="s">
        <v>31</v>
      </c>
      <c r="W44" t="s">
        <v>48</v>
      </c>
      <c r="X44">
        <v>635.65712050199102</v>
      </c>
      <c r="Y44" t="str">
        <f t="shared" si="0"/>
        <v>On Time</v>
      </c>
      <c r="Z44" t="str">
        <f t="shared" si="1"/>
        <v>Low</v>
      </c>
      <c r="AA44" t="str">
        <f t="shared" si="2"/>
        <v>Within lead time</v>
      </c>
      <c r="AB44" t="str">
        <f t="shared" si="3"/>
        <v>Low</v>
      </c>
      <c r="AC44">
        <f t="shared" si="4"/>
        <v>241628.16213306302</v>
      </c>
      <c r="AD44">
        <f t="shared" si="5"/>
        <v>2.6654083441491982</v>
      </c>
      <c r="AE44">
        <f t="shared" si="6"/>
        <v>29</v>
      </c>
    </row>
    <row r="45" spans="1:31">
      <c r="A45" t="s">
        <v>24</v>
      </c>
      <c r="B45" t="s">
        <v>97</v>
      </c>
      <c r="C45" s="1">
        <v>11.7432717763092</v>
      </c>
      <c r="D45">
        <v>6</v>
      </c>
      <c r="E45">
        <v>598</v>
      </c>
      <c r="F45" s="1">
        <v>5737.4255991190203</v>
      </c>
      <c r="G45" t="s">
        <v>38</v>
      </c>
      <c r="H45">
        <v>36</v>
      </c>
      <c r="I45">
        <v>29</v>
      </c>
      <c r="J45">
        <v>85</v>
      </c>
      <c r="K45">
        <v>9</v>
      </c>
      <c r="L45" t="s">
        <v>27</v>
      </c>
      <c r="M45">
        <v>3.6940212683884499</v>
      </c>
      <c r="N45" t="s">
        <v>44</v>
      </c>
      <c r="O45" t="s">
        <v>29</v>
      </c>
      <c r="P45">
        <v>1</v>
      </c>
      <c r="Q45">
        <v>206</v>
      </c>
      <c r="R45">
        <v>23</v>
      </c>
      <c r="S45">
        <v>26.2773659573324</v>
      </c>
      <c r="T45" t="s">
        <v>30</v>
      </c>
      <c r="U45">
        <v>0.37230476798509698</v>
      </c>
      <c r="V45" t="s">
        <v>40</v>
      </c>
      <c r="W45" t="s">
        <v>48</v>
      </c>
      <c r="X45">
        <v>716.04411975933999</v>
      </c>
      <c r="Y45" t="str">
        <f t="shared" si="0"/>
        <v>Late</v>
      </c>
      <c r="Z45" t="str">
        <f t="shared" si="1"/>
        <v>Low</v>
      </c>
      <c r="AA45" t="str">
        <f t="shared" si="2"/>
        <v>Within lead time</v>
      </c>
      <c r="AB45" t="str">
        <f t="shared" si="3"/>
        <v>Medium</v>
      </c>
      <c r="AC45">
        <f t="shared" si="4"/>
        <v>174455.39060546222</v>
      </c>
      <c r="AD45">
        <f t="shared" si="5"/>
        <v>2.6654083441491982</v>
      </c>
      <c r="AE45">
        <f t="shared" si="6"/>
        <v>43</v>
      </c>
    </row>
    <row r="46" spans="1:31">
      <c r="A46" t="s">
        <v>57</v>
      </c>
      <c r="B46" t="s">
        <v>98</v>
      </c>
      <c r="C46" s="1">
        <v>51.355790913110297</v>
      </c>
      <c r="D46">
        <v>34</v>
      </c>
      <c r="E46">
        <v>919</v>
      </c>
      <c r="F46" s="1">
        <v>7152.28604943551</v>
      </c>
      <c r="G46" t="s">
        <v>35</v>
      </c>
      <c r="H46">
        <v>13</v>
      </c>
      <c r="I46">
        <v>19</v>
      </c>
      <c r="J46">
        <v>72</v>
      </c>
      <c r="K46">
        <v>6</v>
      </c>
      <c r="L46" t="s">
        <v>43</v>
      </c>
      <c r="M46">
        <v>7.5774496573766896</v>
      </c>
      <c r="N46" t="s">
        <v>61</v>
      </c>
      <c r="O46" t="s">
        <v>50</v>
      </c>
      <c r="P46">
        <v>7</v>
      </c>
      <c r="Q46">
        <v>834</v>
      </c>
      <c r="R46">
        <v>18</v>
      </c>
      <c r="S46">
        <v>22.554106620887701</v>
      </c>
      <c r="T46" t="s">
        <v>46</v>
      </c>
      <c r="U46">
        <v>2.9626263204548802</v>
      </c>
      <c r="V46" t="s">
        <v>47</v>
      </c>
      <c r="W46" t="s">
        <v>48</v>
      </c>
      <c r="X46">
        <v>610.45326961922694</v>
      </c>
      <c r="Y46" t="str">
        <f t="shared" si="0"/>
        <v>On Time</v>
      </c>
      <c r="Z46" t="str">
        <f t="shared" si="1"/>
        <v>Critical</v>
      </c>
      <c r="AA46" t="str">
        <f t="shared" si="2"/>
        <v>Within lead time</v>
      </c>
      <c r="AB46" t="str">
        <f t="shared" si="3"/>
        <v>Medium</v>
      </c>
      <c r="AC46">
        <f t="shared" si="4"/>
        <v>161521.26599948306</v>
      </c>
      <c r="AD46">
        <f t="shared" si="5"/>
        <v>2.3627501450718764</v>
      </c>
      <c r="AE46">
        <f t="shared" si="6"/>
        <v>29</v>
      </c>
    </row>
    <row r="47" spans="1:31">
      <c r="A47" t="s">
        <v>24</v>
      </c>
      <c r="B47" t="s">
        <v>99</v>
      </c>
      <c r="C47" s="1">
        <v>33.784138033065503</v>
      </c>
      <c r="D47">
        <v>1</v>
      </c>
      <c r="E47">
        <v>24</v>
      </c>
      <c r="F47" s="1">
        <v>5267.9568075105199</v>
      </c>
      <c r="G47" t="s">
        <v>55</v>
      </c>
      <c r="H47">
        <v>93</v>
      </c>
      <c r="I47">
        <v>7</v>
      </c>
      <c r="J47">
        <v>52</v>
      </c>
      <c r="K47">
        <v>6</v>
      </c>
      <c r="L47" t="s">
        <v>27</v>
      </c>
      <c r="M47">
        <v>5.2151550087119096</v>
      </c>
      <c r="N47" t="s">
        <v>61</v>
      </c>
      <c r="O47" t="s">
        <v>62</v>
      </c>
      <c r="P47">
        <v>25</v>
      </c>
      <c r="Q47">
        <v>794</v>
      </c>
      <c r="R47">
        <v>25</v>
      </c>
      <c r="S47">
        <v>66.312544439991598</v>
      </c>
      <c r="T47" t="s">
        <v>64</v>
      </c>
      <c r="U47">
        <v>3.2196046120841002</v>
      </c>
      <c r="V47" t="s">
        <v>47</v>
      </c>
      <c r="W47" t="s">
        <v>48</v>
      </c>
      <c r="X47">
        <v>495.30569702847299</v>
      </c>
      <c r="Y47" t="str">
        <f t="shared" si="0"/>
        <v>On Time</v>
      </c>
      <c r="Z47" t="str">
        <f t="shared" si="1"/>
        <v>OK</v>
      </c>
      <c r="AA47" t="str">
        <f t="shared" si="2"/>
        <v>Exceeds lead time</v>
      </c>
      <c r="AB47" t="str">
        <f t="shared" si="3"/>
        <v>Medium</v>
      </c>
      <c r="AC47">
        <f t="shared" si="4"/>
        <v>174455.39060546222</v>
      </c>
      <c r="AD47">
        <f t="shared" si="5"/>
        <v>2.3627501450718764</v>
      </c>
      <c r="AE47">
        <f t="shared" si="6"/>
        <v>43</v>
      </c>
    </row>
    <row r="48" spans="1:31">
      <c r="A48" t="s">
        <v>24</v>
      </c>
      <c r="B48" t="s">
        <v>100</v>
      </c>
      <c r="C48" s="1">
        <v>27.082207199888899</v>
      </c>
      <c r="D48">
        <v>75</v>
      </c>
      <c r="E48">
        <v>859</v>
      </c>
      <c r="F48" s="1">
        <v>2556.7673606335902</v>
      </c>
      <c r="G48" t="s">
        <v>26</v>
      </c>
      <c r="H48">
        <v>92</v>
      </c>
      <c r="I48">
        <v>29</v>
      </c>
      <c r="J48">
        <v>6</v>
      </c>
      <c r="K48">
        <v>8</v>
      </c>
      <c r="L48" t="s">
        <v>27</v>
      </c>
      <c r="M48">
        <v>4.0709558370840799</v>
      </c>
      <c r="N48" t="s">
        <v>28</v>
      </c>
      <c r="O48" t="s">
        <v>62</v>
      </c>
      <c r="P48">
        <v>18</v>
      </c>
      <c r="Q48">
        <v>870</v>
      </c>
      <c r="R48">
        <v>23</v>
      </c>
      <c r="S48">
        <v>77.322353211051606</v>
      </c>
      <c r="T48" t="s">
        <v>30</v>
      </c>
      <c r="U48">
        <v>3.6486105925361998</v>
      </c>
      <c r="V48" t="s">
        <v>31</v>
      </c>
      <c r="W48" t="s">
        <v>32</v>
      </c>
      <c r="X48">
        <v>380.43593711196399</v>
      </c>
      <c r="Y48" t="str">
        <f t="shared" si="0"/>
        <v>Late</v>
      </c>
      <c r="Z48" t="str">
        <f t="shared" si="1"/>
        <v>OK</v>
      </c>
      <c r="AA48" t="str">
        <f t="shared" si="2"/>
        <v>Within lead time</v>
      </c>
      <c r="AB48" t="str">
        <f t="shared" si="3"/>
        <v>Low</v>
      </c>
      <c r="AC48">
        <f t="shared" si="4"/>
        <v>174455.39060546222</v>
      </c>
      <c r="AD48">
        <f t="shared" si="5"/>
        <v>2.4657860307644657</v>
      </c>
      <c r="AE48">
        <f t="shared" si="6"/>
        <v>43</v>
      </c>
    </row>
    <row r="49" spans="1:31">
      <c r="A49" t="s">
        <v>33</v>
      </c>
      <c r="B49" t="s">
        <v>101</v>
      </c>
      <c r="C49" s="1">
        <v>95.712135880936003</v>
      </c>
      <c r="D49">
        <v>93</v>
      </c>
      <c r="E49">
        <v>910</v>
      </c>
      <c r="F49" s="1">
        <v>7089.4742499341801</v>
      </c>
      <c r="G49" t="s">
        <v>55</v>
      </c>
      <c r="H49">
        <v>4</v>
      </c>
      <c r="I49">
        <v>15</v>
      </c>
      <c r="J49">
        <v>51</v>
      </c>
      <c r="K49">
        <v>9</v>
      </c>
      <c r="L49" t="s">
        <v>27</v>
      </c>
      <c r="M49">
        <v>8.9787507559499709</v>
      </c>
      <c r="N49" t="s">
        <v>39</v>
      </c>
      <c r="O49" t="s">
        <v>45</v>
      </c>
      <c r="P49">
        <v>10</v>
      </c>
      <c r="Q49">
        <v>964</v>
      </c>
      <c r="R49">
        <v>20</v>
      </c>
      <c r="S49">
        <v>19.7129929112936</v>
      </c>
      <c r="T49" t="s">
        <v>30</v>
      </c>
      <c r="U49">
        <v>0.38057358671321301</v>
      </c>
      <c r="V49" t="s">
        <v>47</v>
      </c>
      <c r="W49" t="s">
        <v>48</v>
      </c>
      <c r="X49">
        <v>581.60235505058597</v>
      </c>
      <c r="Y49" t="str">
        <f t="shared" si="0"/>
        <v>Late</v>
      </c>
      <c r="Z49" t="str">
        <f t="shared" si="1"/>
        <v>Critical</v>
      </c>
      <c r="AA49" t="str">
        <f t="shared" si="2"/>
        <v>Exceeds lead time</v>
      </c>
      <c r="AB49" t="str">
        <f t="shared" si="3"/>
        <v>Medium</v>
      </c>
      <c r="AC49">
        <f t="shared" si="4"/>
        <v>241628.16213306302</v>
      </c>
      <c r="AD49">
        <f t="shared" si="5"/>
        <v>1.8036297116882485</v>
      </c>
      <c r="AE49">
        <f t="shared" si="6"/>
        <v>43</v>
      </c>
    </row>
    <row r="50" spans="1:31">
      <c r="A50" t="s">
        <v>24</v>
      </c>
      <c r="B50" t="s">
        <v>102</v>
      </c>
      <c r="C50" s="1">
        <v>76.035544426891704</v>
      </c>
      <c r="D50">
        <v>28</v>
      </c>
      <c r="E50">
        <v>29</v>
      </c>
      <c r="F50" s="1">
        <v>7397.0710045871801</v>
      </c>
      <c r="G50" t="s">
        <v>26</v>
      </c>
      <c r="H50">
        <v>30</v>
      </c>
      <c r="I50">
        <v>16</v>
      </c>
      <c r="J50">
        <v>9</v>
      </c>
      <c r="K50">
        <v>3</v>
      </c>
      <c r="L50" t="s">
        <v>43</v>
      </c>
      <c r="M50">
        <v>7.0958331565551296</v>
      </c>
      <c r="N50" t="s">
        <v>61</v>
      </c>
      <c r="O50" t="s">
        <v>29</v>
      </c>
      <c r="P50">
        <v>9</v>
      </c>
      <c r="Q50">
        <v>109</v>
      </c>
      <c r="R50">
        <v>18</v>
      </c>
      <c r="S50">
        <v>23.126363582464698</v>
      </c>
      <c r="T50" t="s">
        <v>46</v>
      </c>
      <c r="U50">
        <v>1.6981125407144</v>
      </c>
      <c r="V50" t="s">
        <v>47</v>
      </c>
      <c r="W50" t="s">
        <v>32</v>
      </c>
      <c r="X50">
        <v>768.65191395437</v>
      </c>
      <c r="Y50" t="str">
        <f t="shared" si="0"/>
        <v>On Time</v>
      </c>
      <c r="Z50" t="str">
        <f t="shared" si="1"/>
        <v>Low</v>
      </c>
      <c r="AA50" t="str">
        <f t="shared" si="2"/>
        <v>Exceeds lead time</v>
      </c>
      <c r="AB50" t="str">
        <f t="shared" si="3"/>
        <v>Medium</v>
      </c>
      <c r="AC50">
        <f t="shared" si="4"/>
        <v>174455.39060546222</v>
      </c>
      <c r="AD50">
        <f t="shared" si="5"/>
        <v>2.3627501450718764</v>
      </c>
      <c r="AE50">
        <f t="shared" si="6"/>
        <v>29</v>
      </c>
    </row>
    <row r="51" spans="1:31">
      <c r="A51" t="s">
        <v>57</v>
      </c>
      <c r="B51" t="s">
        <v>103</v>
      </c>
      <c r="C51" s="1">
        <v>78.897913205639995</v>
      </c>
      <c r="D51">
        <v>19</v>
      </c>
      <c r="E51">
        <v>99</v>
      </c>
      <c r="F51" s="1">
        <v>8001.6132065190004</v>
      </c>
      <c r="G51" t="s">
        <v>38</v>
      </c>
      <c r="H51">
        <v>97</v>
      </c>
      <c r="I51">
        <v>24</v>
      </c>
      <c r="J51">
        <v>9</v>
      </c>
      <c r="K51">
        <v>6</v>
      </c>
      <c r="L51" t="s">
        <v>43</v>
      </c>
      <c r="M51">
        <v>2.5056210329009101</v>
      </c>
      <c r="N51" t="s">
        <v>44</v>
      </c>
      <c r="O51" t="s">
        <v>50</v>
      </c>
      <c r="P51">
        <v>28</v>
      </c>
      <c r="Q51">
        <v>177</v>
      </c>
      <c r="R51">
        <v>28</v>
      </c>
      <c r="S51">
        <v>14.1478154439792</v>
      </c>
      <c r="T51" t="s">
        <v>64</v>
      </c>
      <c r="U51">
        <v>2.8258139854001301</v>
      </c>
      <c r="V51" t="s">
        <v>47</v>
      </c>
      <c r="W51" t="s">
        <v>48</v>
      </c>
      <c r="X51">
        <v>336.89016851997701</v>
      </c>
      <c r="Y51" t="str">
        <f t="shared" si="0"/>
        <v>On Time</v>
      </c>
      <c r="Z51" t="str">
        <f t="shared" si="1"/>
        <v>OK</v>
      </c>
      <c r="AA51" t="str">
        <f t="shared" si="2"/>
        <v>Exceeds lead time</v>
      </c>
      <c r="AB51" t="str">
        <f t="shared" si="3"/>
        <v>High</v>
      </c>
      <c r="AC51">
        <f t="shared" si="4"/>
        <v>161521.26599948306</v>
      </c>
      <c r="AD51">
        <f t="shared" si="5"/>
        <v>2.6654083441491982</v>
      </c>
      <c r="AE51">
        <f t="shared" si="6"/>
        <v>29</v>
      </c>
    </row>
    <row r="52" spans="1:31">
      <c r="A52" t="s">
        <v>57</v>
      </c>
      <c r="B52" t="s">
        <v>104</v>
      </c>
      <c r="C52" s="1">
        <v>14.203484264803</v>
      </c>
      <c r="D52">
        <v>91</v>
      </c>
      <c r="E52">
        <v>633</v>
      </c>
      <c r="F52" s="1">
        <v>5910.8853896688897</v>
      </c>
      <c r="G52" t="s">
        <v>35</v>
      </c>
      <c r="H52">
        <v>31</v>
      </c>
      <c r="I52">
        <v>23</v>
      </c>
      <c r="J52">
        <v>82</v>
      </c>
      <c r="K52">
        <v>10</v>
      </c>
      <c r="L52" t="s">
        <v>36</v>
      </c>
      <c r="M52">
        <v>6.2478609149759903</v>
      </c>
      <c r="N52" t="s">
        <v>61</v>
      </c>
      <c r="O52" t="s">
        <v>50</v>
      </c>
      <c r="P52">
        <v>20</v>
      </c>
      <c r="Q52">
        <v>306</v>
      </c>
      <c r="R52">
        <v>21</v>
      </c>
      <c r="S52">
        <v>45.178757924634503</v>
      </c>
      <c r="T52" t="s">
        <v>46</v>
      </c>
      <c r="U52">
        <v>4.7548008046711798</v>
      </c>
      <c r="V52" t="s">
        <v>47</v>
      </c>
      <c r="W52" t="s">
        <v>32</v>
      </c>
      <c r="X52">
        <v>496.24865029194001</v>
      </c>
      <c r="Y52" t="str">
        <f t="shared" si="0"/>
        <v>Late</v>
      </c>
      <c r="Z52" t="str">
        <f t="shared" si="1"/>
        <v>Low</v>
      </c>
      <c r="AA52" t="str">
        <f t="shared" si="2"/>
        <v>Within lead time</v>
      </c>
      <c r="AB52" t="str">
        <f t="shared" si="3"/>
        <v>Medium</v>
      </c>
      <c r="AC52">
        <f t="shared" si="4"/>
        <v>161521.26599948306</v>
      </c>
      <c r="AD52">
        <f t="shared" si="5"/>
        <v>2.3627501450718764</v>
      </c>
      <c r="AE52">
        <f t="shared" si="6"/>
        <v>28</v>
      </c>
    </row>
    <row r="53" spans="1:31">
      <c r="A53" t="s">
        <v>24</v>
      </c>
      <c r="B53" t="s">
        <v>105</v>
      </c>
      <c r="C53" s="1">
        <v>26.700760972461701</v>
      </c>
      <c r="D53">
        <v>61</v>
      </c>
      <c r="E53">
        <v>154</v>
      </c>
      <c r="F53" s="1">
        <v>9866.4654579796897</v>
      </c>
      <c r="G53" t="s">
        <v>55</v>
      </c>
      <c r="H53">
        <v>100</v>
      </c>
      <c r="I53">
        <v>4</v>
      </c>
      <c r="J53">
        <v>52</v>
      </c>
      <c r="K53">
        <v>1</v>
      </c>
      <c r="L53" t="s">
        <v>36</v>
      </c>
      <c r="M53">
        <v>4.78300055794766</v>
      </c>
      <c r="N53" t="s">
        <v>44</v>
      </c>
      <c r="O53" t="s">
        <v>53</v>
      </c>
      <c r="P53">
        <v>18</v>
      </c>
      <c r="Q53">
        <v>673</v>
      </c>
      <c r="R53">
        <v>28</v>
      </c>
      <c r="S53">
        <v>14.190328344569901</v>
      </c>
      <c r="T53" t="s">
        <v>30</v>
      </c>
      <c r="U53">
        <v>1.77295117208355</v>
      </c>
      <c r="V53" t="s">
        <v>31</v>
      </c>
      <c r="W53" t="s">
        <v>48</v>
      </c>
      <c r="X53">
        <v>694.98231757944495</v>
      </c>
      <c r="Y53" t="str">
        <f t="shared" si="0"/>
        <v>On Time</v>
      </c>
      <c r="Z53" t="str">
        <f t="shared" si="1"/>
        <v>OK</v>
      </c>
      <c r="AA53" t="str">
        <f t="shared" si="2"/>
        <v>Exceeds lead time</v>
      </c>
      <c r="AB53" t="str">
        <f t="shared" si="3"/>
        <v>High</v>
      </c>
      <c r="AC53">
        <f t="shared" si="4"/>
        <v>174455.39060546222</v>
      </c>
      <c r="AD53">
        <f t="shared" si="5"/>
        <v>2.6654083441491982</v>
      </c>
      <c r="AE53">
        <f t="shared" si="6"/>
        <v>28</v>
      </c>
    </row>
    <row r="54" spans="1:31">
      <c r="A54" t="s">
        <v>33</v>
      </c>
      <c r="B54" t="s">
        <v>106</v>
      </c>
      <c r="C54" s="1">
        <v>98.031829656465007</v>
      </c>
      <c r="D54">
        <v>1</v>
      </c>
      <c r="E54">
        <v>820</v>
      </c>
      <c r="F54" s="1">
        <v>9435.7626089121295</v>
      </c>
      <c r="G54" t="s">
        <v>55</v>
      </c>
      <c r="H54">
        <v>64</v>
      </c>
      <c r="I54">
        <v>11</v>
      </c>
      <c r="J54">
        <v>11</v>
      </c>
      <c r="K54">
        <v>1</v>
      </c>
      <c r="L54" t="s">
        <v>27</v>
      </c>
      <c r="M54">
        <v>8.6310521797689397</v>
      </c>
      <c r="N54" t="s">
        <v>39</v>
      </c>
      <c r="O54" t="s">
        <v>29</v>
      </c>
      <c r="P54">
        <v>10</v>
      </c>
      <c r="Q54">
        <v>727</v>
      </c>
      <c r="R54">
        <v>27</v>
      </c>
      <c r="S54">
        <v>9.1668491485971497</v>
      </c>
      <c r="T54" t="s">
        <v>30</v>
      </c>
      <c r="U54">
        <v>2.1224716191438202</v>
      </c>
      <c r="V54" t="s">
        <v>40</v>
      </c>
      <c r="W54" t="s">
        <v>41</v>
      </c>
      <c r="X54">
        <v>602.89849883838303</v>
      </c>
      <c r="Y54" t="str">
        <f t="shared" si="0"/>
        <v>On Time</v>
      </c>
      <c r="Z54" t="str">
        <f t="shared" si="1"/>
        <v>OK</v>
      </c>
      <c r="AA54" t="str">
        <f t="shared" si="2"/>
        <v>Exceeds lead time</v>
      </c>
      <c r="AB54" t="str">
        <f t="shared" si="3"/>
        <v>High</v>
      </c>
      <c r="AC54">
        <f t="shared" si="4"/>
        <v>241628.16213306302</v>
      </c>
      <c r="AD54">
        <f t="shared" si="5"/>
        <v>1.8036297116882485</v>
      </c>
      <c r="AE54">
        <f t="shared" si="6"/>
        <v>43</v>
      </c>
    </row>
    <row r="55" spans="1:31">
      <c r="A55" t="s">
        <v>33</v>
      </c>
      <c r="B55" t="s">
        <v>107</v>
      </c>
      <c r="C55" s="1">
        <v>30.3414707112142</v>
      </c>
      <c r="D55">
        <v>93</v>
      </c>
      <c r="E55">
        <v>242</v>
      </c>
      <c r="F55" s="1">
        <v>8232.3348294258194</v>
      </c>
      <c r="G55" t="s">
        <v>55</v>
      </c>
      <c r="H55">
        <v>96</v>
      </c>
      <c r="I55">
        <v>25</v>
      </c>
      <c r="J55">
        <v>54</v>
      </c>
      <c r="K55">
        <v>3</v>
      </c>
      <c r="L55" t="s">
        <v>27</v>
      </c>
      <c r="M55">
        <v>1.0134865660958901</v>
      </c>
      <c r="N55" t="s">
        <v>39</v>
      </c>
      <c r="O55" t="s">
        <v>50</v>
      </c>
      <c r="P55">
        <v>1</v>
      </c>
      <c r="Q55">
        <v>631</v>
      </c>
      <c r="R55">
        <v>17</v>
      </c>
      <c r="S55">
        <v>83.344058991677898</v>
      </c>
      <c r="T55" t="s">
        <v>30</v>
      </c>
      <c r="U55">
        <v>1.41034757607602</v>
      </c>
      <c r="V55" t="s">
        <v>40</v>
      </c>
      <c r="W55" t="s">
        <v>32</v>
      </c>
      <c r="X55">
        <v>750.73784066827</v>
      </c>
      <c r="Y55" t="str">
        <f t="shared" si="0"/>
        <v>On Time</v>
      </c>
      <c r="Z55" t="str">
        <f t="shared" si="1"/>
        <v>OK</v>
      </c>
      <c r="AA55" t="str">
        <f t="shared" si="2"/>
        <v>Within lead time</v>
      </c>
      <c r="AB55" t="str">
        <f t="shared" si="3"/>
        <v>High</v>
      </c>
      <c r="AC55">
        <f t="shared" si="4"/>
        <v>241628.16213306302</v>
      </c>
      <c r="AD55">
        <f t="shared" si="5"/>
        <v>1.8036297116882485</v>
      </c>
      <c r="AE55">
        <f t="shared" si="6"/>
        <v>43</v>
      </c>
    </row>
    <row r="56" spans="1:31">
      <c r="A56" t="s">
        <v>24</v>
      </c>
      <c r="B56" t="s">
        <v>108</v>
      </c>
      <c r="C56" s="1">
        <v>31.1462431602408</v>
      </c>
      <c r="D56">
        <v>11</v>
      </c>
      <c r="E56">
        <v>622</v>
      </c>
      <c r="F56" s="1">
        <v>6088.0214799408504</v>
      </c>
      <c r="G56" t="s">
        <v>26</v>
      </c>
      <c r="H56">
        <v>33</v>
      </c>
      <c r="I56">
        <v>22</v>
      </c>
      <c r="J56">
        <v>61</v>
      </c>
      <c r="K56">
        <v>3</v>
      </c>
      <c r="L56" t="s">
        <v>27</v>
      </c>
      <c r="M56">
        <v>4.3051034712876302</v>
      </c>
      <c r="N56" t="s">
        <v>39</v>
      </c>
      <c r="O56" t="s">
        <v>45</v>
      </c>
      <c r="P56">
        <v>26</v>
      </c>
      <c r="Q56">
        <v>497</v>
      </c>
      <c r="R56">
        <v>29</v>
      </c>
      <c r="S56">
        <v>30.186023375822501</v>
      </c>
      <c r="T56" t="s">
        <v>64</v>
      </c>
      <c r="U56">
        <v>2.4787719755397402</v>
      </c>
      <c r="V56" t="s">
        <v>31</v>
      </c>
      <c r="W56" t="s">
        <v>32</v>
      </c>
      <c r="X56">
        <v>814.06999658218695</v>
      </c>
      <c r="Y56" t="str">
        <f t="shared" si="0"/>
        <v>On Time</v>
      </c>
      <c r="Z56" t="str">
        <f t="shared" si="1"/>
        <v>Low</v>
      </c>
      <c r="AA56" t="str">
        <f t="shared" si="2"/>
        <v>Exceeds lead time</v>
      </c>
      <c r="AB56" t="str">
        <f t="shared" si="3"/>
        <v>Medium</v>
      </c>
      <c r="AC56">
        <f t="shared" si="4"/>
        <v>174455.39060546222</v>
      </c>
      <c r="AD56">
        <f t="shared" si="5"/>
        <v>1.8036297116882485</v>
      </c>
      <c r="AE56">
        <f t="shared" si="6"/>
        <v>43</v>
      </c>
    </row>
    <row r="57" spans="1:31">
      <c r="A57" t="s">
        <v>24</v>
      </c>
      <c r="B57" t="s">
        <v>109</v>
      </c>
      <c r="C57" s="1">
        <v>79.855058340789398</v>
      </c>
      <c r="D57">
        <v>16</v>
      </c>
      <c r="E57">
        <v>701</v>
      </c>
      <c r="F57" s="1">
        <v>2925.6751703038099</v>
      </c>
      <c r="G57" t="s">
        <v>55</v>
      </c>
      <c r="H57">
        <v>97</v>
      </c>
      <c r="I57">
        <v>11</v>
      </c>
      <c r="J57">
        <v>11</v>
      </c>
      <c r="K57">
        <v>5</v>
      </c>
      <c r="L57" t="s">
        <v>36</v>
      </c>
      <c r="M57">
        <v>5.0143649550309002</v>
      </c>
      <c r="N57" t="s">
        <v>61</v>
      </c>
      <c r="O57" t="s">
        <v>50</v>
      </c>
      <c r="P57">
        <v>27</v>
      </c>
      <c r="Q57">
        <v>918</v>
      </c>
      <c r="R57">
        <v>5</v>
      </c>
      <c r="S57">
        <v>30.323545256616502</v>
      </c>
      <c r="T57" t="s">
        <v>46</v>
      </c>
      <c r="U57">
        <v>4.5489196593963799</v>
      </c>
      <c r="V57" t="s">
        <v>56</v>
      </c>
      <c r="W57" t="s">
        <v>32</v>
      </c>
      <c r="X57">
        <v>323.01292795247798</v>
      </c>
      <c r="Y57" t="str">
        <f t="shared" si="0"/>
        <v>On Time</v>
      </c>
      <c r="Z57" t="str">
        <f t="shared" si="1"/>
        <v>OK</v>
      </c>
      <c r="AA57" t="str">
        <f t="shared" si="2"/>
        <v>Within lead time</v>
      </c>
      <c r="AB57" t="str">
        <f t="shared" si="3"/>
        <v>Low</v>
      </c>
      <c r="AC57">
        <f t="shared" si="4"/>
        <v>174455.39060546222</v>
      </c>
      <c r="AD57">
        <f t="shared" si="5"/>
        <v>2.3627501450718764</v>
      </c>
      <c r="AE57">
        <f t="shared" si="6"/>
        <v>28</v>
      </c>
    </row>
    <row r="58" spans="1:31">
      <c r="A58" t="s">
        <v>33</v>
      </c>
      <c r="B58" t="s">
        <v>110</v>
      </c>
      <c r="C58" s="1">
        <v>20.9863860370433</v>
      </c>
      <c r="D58">
        <v>90</v>
      </c>
      <c r="E58">
        <v>93</v>
      </c>
      <c r="F58" s="1">
        <v>4767.0204843441297</v>
      </c>
      <c r="G58" t="s">
        <v>26</v>
      </c>
      <c r="H58">
        <v>25</v>
      </c>
      <c r="I58">
        <v>23</v>
      </c>
      <c r="J58">
        <v>83</v>
      </c>
      <c r="K58">
        <v>5</v>
      </c>
      <c r="L58" t="s">
        <v>43</v>
      </c>
      <c r="M58">
        <v>1.77442971407173</v>
      </c>
      <c r="N58" t="s">
        <v>39</v>
      </c>
      <c r="O58" t="s">
        <v>29</v>
      </c>
      <c r="P58">
        <v>24</v>
      </c>
      <c r="Q58">
        <v>826</v>
      </c>
      <c r="R58">
        <v>28</v>
      </c>
      <c r="S58">
        <v>12.8362845728327</v>
      </c>
      <c r="T58" t="s">
        <v>64</v>
      </c>
      <c r="U58">
        <v>1.1737554953874501</v>
      </c>
      <c r="V58" t="s">
        <v>40</v>
      </c>
      <c r="W58" t="s">
        <v>32</v>
      </c>
      <c r="X58">
        <v>832.210808706021</v>
      </c>
      <c r="Y58" t="str">
        <f t="shared" si="0"/>
        <v>On Time</v>
      </c>
      <c r="Z58" t="str">
        <f t="shared" si="1"/>
        <v>Low</v>
      </c>
      <c r="AA58" t="str">
        <f t="shared" si="2"/>
        <v>Exceeds lead time</v>
      </c>
      <c r="AB58" t="str">
        <f t="shared" si="3"/>
        <v>Low</v>
      </c>
      <c r="AC58">
        <f t="shared" si="4"/>
        <v>241628.16213306302</v>
      </c>
      <c r="AD58">
        <f t="shared" si="5"/>
        <v>1.8036297116882485</v>
      </c>
      <c r="AE58">
        <f t="shared" si="6"/>
        <v>29</v>
      </c>
    </row>
    <row r="59" spans="1:31">
      <c r="A59" t="s">
        <v>24</v>
      </c>
      <c r="B59" t="s">
        <v>111</v>
      </c>
      <c r="C59" s="1">
        <v>49.263205350734097</v>
      </c>
      <c r="D59">
        <v>65</v>
      </c>
      <c r="E59">
        <v>227</v>
      </c>
      <c r="F59" s="1">
        <v>1605.8669003924001</v>
      </c>
      <c r="G59" t="s">
        <v>38</v>
      </c>
      <c r="H59">
        <v>5</v>
      </c>
      <c r="I59">
        <v>18</v>
      </c>
      <c r="J59">
        <v>51</v>
      </c>
      <c r="K59">
        <v>1</v>
      </c>
      <c r="L59" t="s">
        <v>27</v>
      </c>
      <c r="M59">
        <v>9.1605585353818704</v>
      </c>
      <c r="N59" t="s">
        <v>61</v>
      </c>
      <c r="O59" t="s">
        <v>50</v>
      </c>
      <c r="P59">
        <v>21</v>
      </c>
      <c r="Q59">
        <v>588</v>
      </c>
      <c r="R59">
        <v>25</v>
      </c>
      <c r="S59">
        <v>67.779622987078099</v>
      </c>
      <c r="T59" t="s">
        <v>30</v>
      </c>
      <c r="U59">
        <v>2.5111748302126999</v>
      </c>
      <c r="V59" t="s">
        <v>47</v>
      </c>
      <c r="W59" t="s">
        <v>48</v>
      </c>
      <c r="X59">
        <v>482.19123860252802</v>
      </c>
      <c r="Y59" t="str">
        <f t="shared" si="0"/>
        <v>On Time</v>
      </c>
      <c r="Z59" t="str">
        <f t="shared" si="1"/>
        <v>Critical</v>
      </c>
      <c r="AA59" t="str">
        <f t="shared" si="2"/>
        <v>Exceeds lead time</v>
      </c>
      <c r="AB59" t="str">
        <f t="shared" si="3"/>
        <v>Low</v>
      </c>
      <c r="AC59">
        <f t="shared" si="4"/>
        <v>174455.39060546222</v>
      </c>
      <c r="AD59">
        <f t="shared" si="5"/>
        <v>2.3627501450718764</v>
      </c>
      <c r="AE59">
        <f t="shared" si="6"/>
        <v>43</v>
      </c>
    </row>
    <row r="60" spans="1:31">
      <c r="A60" t="s">
        <v>33</v>
      </c>
      <c r="B60" t="s">
        <v>112</v>
      </c>
      <c r="C60" s="1">
        <v>59.841561377289302</v>
      </c>
      <c r="D60">
        <v>81</v>
      </c>
      <c r="E60">
        <v>896</v>
      </c>
      <c r="F60" s="1">
        <v>2021.1498103371</v>
      </c>
      <c r="G60" t="s">
        <v>26</v>
      </c>
      <c r="H60">
        <v>10</v>
      </c>
      <c r="I60">
        <v>5</v>
      </c>
      <c r="J60">
        <v>44</v>
      </c>
      <c r="K60">
        <v>7</v>
      </c>
      <c r="L60" t="s">
        <v>36</v>
      </c>
      <c r="M60">
        <v>4.9384385647120901</v>
      </c>
      <c r="N60" t="s">
        <v>28</v>
      </c>
      <c r="O60" t="s">
        <v>50</v>
      </c>
      <c r="P60">
        <v>18</v>
      </c>
      <c r="Q60">
        <v>396</v>
      </c>
      <c r="R60">
        <v>7</v>
      </c>
      <c r="S60">
        <v>65.047415094691402</v>
      </c>
      <c r="T60" t="s">
        <v>46</v>
      </c>
      <c r="U60">
        <v>1.7303747198591899</v>
      </c>
      <c r="V60" t="s">
        <v>31</v>
      </c>
      <c r="W60" t="s">
        <v>32</v>
      </c>
      <c r="X60">
        <v>110.364335231364</v>
      </c>
      <c r="Y60" t="str">
        <f t="shared" si="0"/>
        <v>On Time</v>
      </c>
      <c r="Z60" t="str">
        <f t="shared" si="1"/>
        <v>Critical</v>
      </c>
      <c r="AA60" t="str">
        <f t="shared" si="2"/>
        <v>Exceeds lead time</v>
      </c>
      <c r="AB60" t="str">
        <f t="shared" si="3"/>
        <v>Low</v>
      </c>
      <c r="AC60">
        <f t="shared" si="4"/>
        <v>241628.16213306302</v>
      </c>
      <c r="AD60">
        <f t="shared" si="5"/>
        <v>2.4657860307644657</v>
      </c>
      <c r="AE60">
        <f t="shared" si="6"/>
        <v>28</v>
      </c>
    </row>
    <row r="61" spans="1:31">
      <c r="A61" t="s">
        <v>57</v>
      </c>
      <c r="B61" t="s">
        <v>113</v>
      </c>
      <c r="C61" s="1">
        <v>63.828398347710902</v>
      </c>
      <c r="D61">
        <v>30</v>
      </c>
      <c r="E61">
        <v>484</v>
      </c>
      <c r="F61" s="1">
        <v>1061.6185230132801</v>
      </c>
      <c r="G61" t="s">
        <v>26</v>
      </c>
      <c r="H61">
        <v>100</v>
      </c>
      <c r="I61">
        <v>16</v>
      </c>
      <c r="J61">
        <v>26</v>
      </c>
      <c r="K61">
        <v>7</v>
      </c>
      <c r="L61" t="s">
        <v>27</v>
      </c>
      <c r="M61">
        <v>7.2937225968677204</v>
      </c>
      <c r="N61" t="s">
        <v>39</v>
      </c>
      <c r="O61" t="s">
        <v>45</v>
      </c>
      <c r="P61">
        <v>11</v>
      </c>
      <c r="Q61">
        <v>176</v>
      </c>
      <c r="R61">
        <v>4</v>
      </c>
      <c r="S61">
        <v>1.90076224351945</v>
      </c>
      <c r="T61" t="s">
        <v>46</v>
      </c>
      <c r="U61">
        <v>0.44719401546382298</v>
      </c>
      <c r="V61" t="s">
        <v>40</v>
      </c>
      <c r="W61" t="s">
        <v>48</v>
      </c>
      <c r="X61">
        <v>312.57427361009297</v>
      </c>
      <c r="Y61" t="str">
        <f t="shared" si="0"/>
        <v>On Time</v>
      </c>
      <c r="Z61" t="str">
        <f t="shared" si="1"/>
        <v>OK</v>
      </c>
      <c r="AA61" t="str">
        <f t="shared" si="2"/>
        <v>Within lead time</v>
      </c>
      <c r="AB61" t="str">
        <f t="shared" si="3"/>
        <v>Low</v>
      </c>
      <c r="AC61">
        <f t="shared" si="4"/>
        <v>161521.26599948306</v>
      </c>
      <c r="AD61">
        <f t="shared" si="5"/>
        <v>1.8036297116882485</v>
      </c>
      <c r="AE61">
        <f t="shared" si="6"/>
        <v>43</v>
      </c>
    </row>
    <row r="62" spans="1:31">
      <c r="A62" t="s">
        <v>33</v>
      </c>
      <c r="B62" t="s">
        <v>114</v>
      </c>
      <c r="C62" s="1">
        <v>17.028027920188698</v>
      </c>
      <c r="D62">
        <v>16</v>
      </c>
      <c r="E62">
        <v>380</v>
      </c>
      <c r="F62" s="1">
        <v>8864.0843495864301</v>
      </c>
      <c r="G62" t="s">
        <v>35</v>
      </c>
      <c r="H62">
        <v>41</v>
      </c>
      <c r="I62">
        <v>27</v>
      </c>
      <c r="J62">
        <v>72</v>
      </c>
      <c r="K62">
        <v>8</v>
      </c>
      <c r="L62" t="s">
        <v>43</v>
      </c>
      <c r="M62">
        <v>4.3813681581023101</v>
      </c>
      <c r="N62" t="s">
        <v>52</v>
      </c>
      <c r="O62" t="s">
        <v>29</v>
      </c>
      <c r="P62">
        <v>29</v>
      </c>
      <c r="Q62">
        <v>929</v>
      </c>
      <c r="R62">
        <v>24</v>
      </c>
      <c r="S62">
        <v>87.213057815135599</v>
      </c>
      <c r="T62" t="s">
        <v>46</v>
      </c>
      <c r="U62">
        <v>2.8530906166490499</v>
      </c>
      <c r="V62" t="s">
        <v>47</v>
      </c>
      <c r="W62" t="s">
        <v>48</v>
      </c>
      <c r="X62">
        <v>430.16909697513597</v>
      </c>
      <c r="Y62" t="str">
        <f t="shared" si="0"/>
        <v>Late</v>
      </c>
      <c r="Z62" t="str">
        <f t="shared" si="1"/>
        <v>Low</v>
      </c>
      <c r="AA62" t="str">
        <f t="shared" si="2"/>
        <v>Within lead time</v>
      </c>
      <c r="AB62" t="str">
        <f t="shared" si="3"/>
        <v>High</v>
      </c>
      <c r="AC62">
        <f t="shared" si="4"/>
        <v>241628.16213306302</v>
      </c>
      <c r="AD62">
        <f t="shared" si="5"/>
        <v>2.3373974005913354</v>
      </c>
      <c r="AE62">
        <f t="shared" si="6"/>
        <v>29</v>
      </c>
    </row>
    <row r="63" spans="1:31">
      <c r="A63" t="s">
        <v>24</v>
      </c>
      <c r="B63" t="s">
        <v>115</v>
      </c>
      <c r="C63" s="1">
        <v>52.028749903294901</v>
      </c>
      <c r="D63">
        <v>23</v>
      </c>
      <c r="E63">
        <v>117</v>
      </c>
      <c r="F63" s="1">
        <v>6885.5893508962499</v>
      </c>
      <c r="G63" t="s">
        <v>38</v>
      </c>
      <c r="H63">
        <v>32</v>
      </c>
      <c r="I63">
        <v>23</v>
      </c>
      <c r="J63">
        <v>36</v>
      </c>
      <c r="K63">
        <v>7</v>
      </c>
      <c r="L63" t="s">
        <v>43</v>
      </c>
      <c r="M63">
        <v>9.0303404225219399</v>
      </c>
      <c r="N63" t="s">
        <v>52</v>
      </c>
      <c r="O63" t="s">
        <v>45</v>
      </c>
      <c r="P63">
        <v>14</v>
      </c>
      <c r="Q63">
        <v>480</v>
      </c>
      <c r="R63">
        <v>12</v>
      </c>
      <c r="S63">
        <v>78.702393968878894</v>
      </c>
      <c r="T63" t="s">
        <v>46</v>
      </c>
      <c r="U63">
        <v>4.3674705382050503</v>
      </c>
      <c r="V63" t="s">
        <v>40</v>
      </c>
      <c r="W63" t="s">
        <v>48</v>
      </c>
      <c r="X63">
        <v>164.366528243419</v>
      </c>
      <c r="Y63" t="str">
        <f t="shared" si="0"/>
        <v>On Time</v>
      </c>
      <c r="Z63" t="str">
        <f t="shared" si="1"/>
        <v>Low</v>
      </c>
      <c r="AA63" t="str">
        <f t="shared" si="2"/>
        <v>Within lead time</v>
      </c>
      <c r="AB63" t="str">
        <f t="shared" si="3"/>
        <v>Medium</v>
      </c>
      <c r="AC63">
        <f t="shared" si="4"/>
        <v>174455.39060546222</v>
      </c>
      <c r="AD63">
        <f t="shared" si="5"/>
        <v>2.3373974005913354</v>
      </c>
      <c r="AE63">
        <f t="shared" si="6"/>
        <v>29</v>
      </c>
    </row>
    <row r="64" spans="1:31">
      <c r="A64" t="s">
        <v>57</v>
      </c>
      <c r="B64" t="s">
        <v>116</v>
      </c>
      <c r="C64" s="1">
        <v>72.796353955587307</v>
      </c>
      <c r="D64">
        <v>89</v>
      </c>
      <c r="E64">
        <v>270</v>
      </c>
      <c r="F64" s="1">
        <v>3899.7468337292198</v>
      </c>
      <c r="G64" t="s">
        <v>38</v>
      </c>
      <c r="H64">
        <v>86</v>
      </c>
      <c r="I64">
        <v>2</v>
      </c>
      <c r="J64">
        <v>40</v>
      </c>
      <c r="K64">
        <v>7</v>
      </c>
      <c r="L64" t="s">
        <v>43</v>
      </c>
      <c r="M64">
        <v>7.2917013887767697</v>
      </c>
      <c r="N64" t="s">
        <v>61</v>
      </c>
      <c r="O64" t="s">
        <v>29</v>
      </c>
      <c r="P64">
        <v>13</v>
      </c>
      <c r="Q64">
        <v>751</v>
      </c>
      <c r="R64">
        <v>14</v>
      </c>
      <c r="S64">
        <v>21.048642725168602</v>
      </c>
      <c r="T64" t="s">
        <v>64</v>
      </c>
      <c r="U64">
        <v>1.87400140404437</v>
      </c>
      <c r="V64" t="s">
        <v>56</v>
      </c>
      <c r="W64" t="s">
        <v>41</v>
      </c>
      <c r="X64">
        <v>320.84651575911101</v>
      </c>
      <c r="Y64" t="str">
        <f t="shared" si="0"/>
        <v>On Time</v>
      </c>
      <c r="Z64" t="str">
        <f t="shared" si="1"/>
        <v>OK</v>
      </c>
      <c r="AA64" t="str">
        <f t="shared" si="2"/>
        <v>Exceeds lead time</v>
      </c>
      <c r="AB64" t="str">
        <f t="shared" si="3"/>
        <v>Low</v>
      </c>
      <c r="AC64">
        <f t="shared" si="4"/>
        <v>161521.26599948306</v>
      </c>
      <c r="AD64">
        <f t="shared" si="5"/>
        <v>2.3627501450718764</v>
      </c>
      <c r="AE64">
        <f t="shared" si="6"/>
        <v>29</v>
      </c>
    </row>
    <row r="65" spans="1:31">
      <c r="A65" t="s">
        <v>33</v>
      </c>
      <c r="B65" t="s">
        <v>117</v>
      </c>
      <c r="C65" s="1">
        <v>13.0173767852878</v>
      </c>
      <c r="D65">
        <v>55</v>
      </c>
      <c r="E65">
        <v>246</v>
      </c>
      <c r="F65" s="1">
        <v>4256.9491408502199</v>
      </c>
      <c r="G65" t="s">
        <v>26</v>
      </c>
      <c r="H65">
        <v>54</v>
      </c>
      <c r="I65">
        <v>19</v>
      </c>
      <c r="J65">
        <v>10</v>
      </c>
      <c r="K65">
        <v>4</v>
      </c>
      <c r="L65" t="s">
        <v>36</v>
      </c>
      <c r="M65">
        <v>2.45793352798733</v>
      </c>
      <c r="N65" t="s">
        <v>28</v>
      </c>
      <c r="O65" t="s">
        <v>53</v>
      </c>
      <c r="P65">
        <v>18</v>
      </c>
      <c r="Q65">
        <v>736</v>
      </c>
      <c r="R65">
        <v>10</v>
      </c>
      <c r="S65">
        <v>20.075003975630398</v>
      </c>
      <c r="T65" t="s">
        <v>30</v>
      </c>
      <c r="U65">
        <v>3.6328432903821302</v>
      </c>
      <c r="V65" t="s">
        <v>56</v>
      </c>
      <c r="W65" t="s">
        <v>48</v>
      </c>
      <c r="X65">
        <v>687.28617786641701</v>
      </c>
      <c r="Y65" t="str">
        <f t="shared" si="0"/>
        <v>On Time</v>
      </c>
      <c r="Z65" t="str">
        <f t="shared" si="1"/>
        <v>OK</v>
      </c>
      <c r="AA65" t="str">
        <f t="shared" si="2"/>
        <v>Within lead time</v>
      </c>
      <c r="AB65" t="str">
        <f t="shared" si="3"/>
        <v>Low</v>
      </c>
      <c r="AC65">
        <f t="shared" si="4"/>
        <v>241628.16213306302</v>
      </c>
      <c r="AD65">
        <f t="shared" si="5"/>
        <v>2.4657860307644657</v>
      </c>
      <c r="AE65">
        <f t="shared" si="6"/>
        <v>28</v>
      </c>
    </row>
    <row r="66" spans="1:31">
      <c r="A66" t="s">
        <v>33</v>
      </c>
      <c r="B66" t="s">
        <v>118</v>
      </c>
      <c r="C66" s="1">
        <v>89.634095608135297</v>
      </c>
      <c r="D66">
        <v>11</v>
      </c>
      <c r="E66">
        <v>134</v>
      </c>
      <c r="F66" s="1">
        <v>8458.7308783671706</v>
      </c>
      <c r="G66" t="s">
        <v>35</v>
      </c>
      <c r="H66">
        <v>73</v>
      </c>
      <c r="I66">
        <v>27</v>
      </c>
      <c r="J66">
        <v>75</v>
      </c>
      <c r="K66">
        <v>6</v>
      </c>
      <c r="L66" t="s">
        <v>43</v>
      </c>
      <c r="M66">
        <v>4.5853534681946497</v>
      </c>
      <c r="N66" t="s">
        <v>39</v>
      </c>
      <c r="O66" t="s">
        <v>50</v>
      </c>
      <c r="P66">
        <v>17</v>
      </c>
      <c r="Q66">
        <v>328</v>
      </c>
      <c r="R66">
        <v>6</v>
      </c>
      <c r="S66">
        <v>8.6930424258772803</v>
      </c>
      <c r="T66" t="s">
        <v>46</v>
      </c>
      <c r="U66">
        <v>0.15948631471751401</v>
      </c>
      <c r="V66" t="s">
        <v>40</v>
      </c>
      <c r="W66" t="s">
        <v>41</v>
      </c>
      <c r="X66">
        <v>771.225084681157</v>
      </c>
      <c r="Y66" t="str">
        <f t="shared" si="0"/>
        <v>On Time</v>
      </c>
      <c r="Z66" t="str">
        <f t="shared" si="1"/>
        <v>OK</v>
      </c>
      <c r="AA66" t="str">
        <f t="shared" si="2"/>
        <v>Within lead time</v>
      </c>
      <c r="AB66" t="str">
        <f t="shared" si="3"/>
        <v>High</v>
      </c>
      <c r="AC66">
        <f t="shared" si="4"/>
        <v>241628.16213306302</v>
      </c>
      <c r="AD66">
        <f t="shared" si="5"/>
        <v>1.8036297116882485</v>
      </c>
      <c r="AE66">
        <f t="shared" si="6"/>
        <v>29</v>
      </c>
    </row>
    <row r="67" spans="1:31">
      <c r="A67" t="s">
        <v>33</v>
      </c>
      <c r="B67" t="s">
        <v>119</v>
      </c>
      <c r="C67" s="1">
        <v>33.697717206643098</v>
      </c>
      <c r="D67">
        <v>72</v>
      </c>
      <c r="E67">
        <v>457</v>
      </c>
      <c r="F67" s="1">
        <v>8354.5796864819895</v>
      </c>
      <c r="G67" t="s">
        <v>55</v>
      </c>
      <c r="H67">
        <v>57</v>
      </c>
      <c r="I67">
        <v>24</v>
      </c>
      <c r="J67">
        <v>54</v>
      </c>
      <c r="K67">
        <v>8</v>
      </c>
      <c r="L67" t="s">
        <v>43</v>
      </c>
      <c r="M67">
        <v>6.5805413478845898</v>
      </c>
      <c r="N67" t="s">
        <v>44</v>
      </c>
      <c r="O67" t="s">
        <v>45</v>
      </c>
      <c r="P67">
        <v>16</v>
      </c>
      <c r="Q67">
        <v>358</v>
      </c>
      <c r="R67">
        <v>21</v>
      </c>
      <c r="S67">
        <v>1.59722274305067</v>
      </c>
      <c r="T67" t="s">
        <v>46</v>
      </c>
      <c r="U67">
        <v>4.9110959548423301</v>
      </c>
      <c r="V67" t="s">
        <v>47</v>
      </c>
      <c r="W67" t="s">
        <v>41</v>
      </c>
      <c r="X67">
        <v>555.85910367174301</v>
      </c>
      <c r="Y67" t="str">
        <f t="shared" ref="Y67:Y101" si="7">IF(K67&lt;=7,"On Time","Late")</f>
        <v>Late</v>
      </c>
      <c r="Z67" t="str">
        <f t="shared" ref="Z67:Z101" si="8">IF(H67&lt;20,"Critical",IF(H67&lt;50,"Low","OK"))</f>
        <v>OK</v>
      </c>
      <c r="AA67" t="str">
        <f t="shared" ref="AA67:AA101" si="9">IF(R67&lt;=I67,"Within lead time","Exceeds lead time")</f>
        <v>Within lead time</v>
      </c>
      <c r="AB67" t="str">
        <f t="shared" ref="AB67:AB101" si="10">IF(F67&gt;8000,"High",IF(F67&gt;5000,"Medium","Low"))</f>
        <v>High</v>
      </c>
      <c r="AC67">
        <f t="shared" ref="AC67:AC101" si="11">SUMIF($A$2:$A$101,A67,$F$2:$F$101)</f>
        <v>241628.16213306302</v>
      </c>
      <c r="AD67">
        <f t="shared" ref="AD67:AD101" si="12">AVERAGEIF($N$2:$N$101,N67,$U$2:$U$101)</f>
        <v>2.6654083441491982</v>
      </c>
      <c r="AE67">
        <f t="shared" ref="AE67:AE101" si="13">COUNTIF($L$2:$L$101,L67)</f>
        <v>29</v>
      </c>
    </row>
    <row r="68" spans="1:31">
      <c r="A68" t="s">
        <v>33</v>
      </c>
      <c r="B68" t="s">
        <v>120</v>
      </c>
      <c r="C68" s="1">
        <v>26.034869773962001</v>
      </c>
      <c r="D68">
        <v>52</v>
      </c>
      <c r="E68">
        <v>704</v>
      </c>
      <c r="F68" s="1">
        <v>8367.7216180201503</v>
      </c>
      <c r="G68" t="s">
        <v>35</v>
      </c>
      <c r="H68">
        <v>13</v>
      </c>
      <c r="I68">
        <v>17</v>
      </c>
      <c r="J68">
        <v>19</v>
      </c>
      <c r="K68">
        <v>8</v>
      </c>
      <c r="L68" t="s">
        <v>36</v>
      </c>
      <c r="M68">
        <v>2.2161427287713602</v>
      </c>
      <c r="N68" t="s">
        <v>44</v>
      </c>
      <c r="O68" t="s">
        <v>45</v>
      </c>
      <c r="P68">
        <v>24</v>
      </c>
      <c r="Q68">
        <v>867</v>
      </c>
      <c r="R68">
        <v>28</v>
      </c>
      <c r="S68">
        <v>42.084436738309897</v>
      </c>
      <c r="T68" t="s">
        <v>46</v>
      </c>
      <c r="U68">
        <v>3.44806328834026</v>
      </c>
      <c r="V68" t="s">
        <v>31</v>
      </c>
      <c r="W68" t="s">
        <v>48</v>
      </c>
      <c r="X68">
        <v>393.84334857842703</v>
      </c>
      <c r="Y68" t="str">
        <f t="shared" si="7"/>
        <v>Late</v>
      </c>
      <c r="Z68" t="str">
        <f t="shared" si="8"/>
        <v>Critical</v>
      </c>
      <c r="AA68" t="str">
        <f t="shared" si="9"/>
        <v>Exceeds lead time</v>
      </c>
      <c r="AB68" t="str">
        <f t="shared" si="10"/>
        <v>High</v>
      </c>
      <c r="AC68">
        <f t="shared" si="11"/>
        <v>241628.16213306302</v>
      </c>
      <c r="AD68">
        <f t="shared" si="12"/>
        <v>2.6654083441491982</v>
      </c>
      <c r="AE68">
        <f t="shared" si="13"/>
        <v>28</v>
      </c>
    </row>
    <row r="69" spans="1:31">
      <c r="A69" t="s">
        <v>33</v>
      </c>
      <c r="B69" t="s">
        <v>121</v>
      </c>
      <c r="C69" s="1">
        <v>87.755432354001002</v>
      </c>
      <c r="D69">
        <v>16</v>
      </c>
      <c r="E69">
        <v>513</v>
      </c>
      <c r="F69" s="1">
        <v>9473.7980325083299</v>
      </c>
      <c r="G69" t="s">
        <v>38</v>
      </c>
      <c r="H69">
        <v>12</v>
      </c>
      <c r="I69">
        <v>9</v>
      </c>
      <c r="J69">
        <v>71</v>
      </c>
      <c r="K69">
        <v>9</v>
      </c>
      <c r="L69" t="s">
        <v>43</v>
      </c>
      <c r="M69">
        <v>9.1478115447106294</v>
      </c>
      <c r="N69" t="s">
        <v>39</v>
      </c>
      <c r="O69" t="s">
        <v>29</v>
      </c>
      <c r="P69">
        <v>10</v>
      </c>
      <c r="Q69">
        <v>198</v>
      </c>
      <c r="R69">
        <v>11</v>
      </c>
      <c r="S69">
        <v>7.0578761469782298</v>
      </c>
      <c r="T69" t="s">
        <v>64</v>
      </c>
      <c r="U69">
        <v>0.131955444311814</v>
      </c>
      <c r="V69" t="s">
        <v>56</v>
      </c>
      <c r="W69" t="s">
        <v>41</v>
      </c>
      <c r="X69">
        <v>169.27180138478599</v>
      </c>
      <c r="Y69" t="str">
        <f t="shared" si="7"/>
        <v>Late</v>
      </c>
      <c r="Z69" t="str">
        <f t="shared" si="8"/>
        <v>Critical</v>
      </c>
      <c r="AA69" t="str">
        <f t="shared" si="9"/>
        <v>Exceeds lead time</v>
      </c>
      <c r="AB69" t="str">
        <f t="shared" si="10"/>
        <v>High</v>
      </c>
      <c r="AC69">
        <f t="shared" si="11"/>
        <v>241628.16213306302</v>
      </c>
      <c r="AD69">
        <f t="shared" si="12"/>
        <v>1.8036297116882485</v>
      </c>
      <c r="AE69">
        <f t="shared" si="13"/>
        <v>29</v>
      </c>
    </row>
    <row r="70" spans="1:31">
      <c r="A70" t="s">
        <v>24</v>
      </c>
      <c r="B70" t="s">
        <v>122</v>
      </c>
      <c r="C70" s="1">
        <v>37.931812382790298</v>
      </c>
      <c r="D70">
        <v>29</v>
      </c>
      <c r="E70">
        <v>163</v>
      </c>
      <c r="F70" s="1">
        <v>3550.21843278099</v>
      </c>
      <c r="G70" t="s">
        <v>26</v>
      </c>
      <c r="H70">
        <v>0</v>
      </c>
      <c r="I70">
        <v>8</v>
      </c>
      <c r="J70">
        <v>58</v>
      </c>
      <c r="K70">
        <v>8</v>
      </c>
      <c r="L70" t="s">
        <v>27</v>
      </c>
      <c r="M70">
        <v>1.19425186488499</v>
      </c>
      <c r="N70" t="s">
        <v>61</v>
      </c>
      <c r="O70" t="s">
        <v>53</v>
      </c>
      <c r="P70">
        <v>2</v>
      </c>
      <c r="Q70">
        <v>375</v>
      </c>
      <c r="R70">
        <v>18</v>
      </c>
      <c r="S70">
        <v>97.113581563462205</v>
      </c>
      <c r="T70" t="s">
        <v>46</v>
      </c>
      <c r="U70">
        <v>1.9834678721741801</v>
      </c>
      <c r="V70" t="s">
        <v>47</v>
      </c>
      <c r="W70" t="s">
        <v>48</v>
      </c>
      <c r="X70">
        <v>299.70630311810299</v>
      </c>
      <c r="Y70" t="str">
        <f t="shared" si="7"/>
        <v>Late</v>
      </c>
      <c r="Z70" t="str">
        <f t="shared" si="8"/>
        <v>Critical</v>
      </c>
      <c r="AA70" t="str">
        <f t="shared" si="9"/>
        <v>Exceeds lead time</v>
      </c>
      <c r="AB70" t="str">
        <f t="shared" si="10"/>
        <v>Low</v>
      </c>
      <c r="AC70">
        <f t="shared" si="11"/>
        <v>174455.39060546222</v>
      </c>
      <c r="AD70">
        <f t="shared" si="12"/>
        <v>2.3627501450718764</v>
      </c>
      <c r="AE70">
        <f t="shared" si="13"/>
        <v>43</v>
      </c>
    </row>
    <row r="71" spans="1:31">
      <c r="A71" t="s">
        <v>33</v>
      </c>
      <c r="B71" t="s">
        <v>123</v>
      </c>
      <c r="C71" s="1">
        <v>54.865528517069698</v>
      </c>
      <c r="D71">
        <v>62</v>
      </c>
      <c r="E71">
        <v>511</v>
      </c>
      <c r="F71" s="1">
        <v>1752.3810874841199</v>
      </c>
      <c r="G71" t="s">
        <v>26</v>
      </c>
      <c r="H71">
        <v>95</v>
      </c>
      <c r="I71">
        <v>1</v>
      </c>
      <c r="J71">
        <v>27</v>
      </c>
      <c r="K71">
        <v>3</v>
      </c>
      <c r="L71" t="s">
        <v>27</v>
      </c>
      <c r="M71">
        <v>9.7052867901203399</v>
      </c>
      <c r="N71" t="s">
        <v>52</v>
      </c>
      <c r="O71" t="s">
        <v>45</v>
      </c>
      <c r="P71">
        <v>9</v>
      </c>
      <c r="Q71">
        <v>862</v>
      </c>
      <c r="R71">
        <v>7</v>
      </c>
      <c r="S71">
        <v>77.627765812748095</v>
      </c>
      <c r="T71" t="s">
        <v>30</v>
      </c>
      <c r="U71">
        <v>1.3623879886490999</v>
      </c>
      <c r="V71" t="s">
        <v>40</v>
      </c>
      <c r="W71" t="s">
        <v>48</v>
      </c>
      <c r="X71">
        <v>207.66320620857499</v>
      </c>
      <c r="Y71" t="str">
        <f t="shared" si="7"/>
        <v>On Time</v>
      </c>
      <c r="Z71" t="str">
        <f t="shared" si="8"/>
        <v>OK</v>
      </c>
      <c r="AA71" t="str">
        <f t="shared" si="9"/>
        <v>Exceeds lead time</v>
      </c>
      <c r="AB71" t="str">
        <f t="shared" si="10"/>
        <v>Low</v>
      </c>
      <c r="AC71">
        <f t="shared" si="11"/>
        <v>241628.16213306302</v>
      </c>
      <c r="AD71">
        <f t="shared" si="12"/>
        <v>2.3373974005913354</v>
      </c>
      <c r="AE71">
        <f t="shared" si="13"/>
        <v>43</v>
      </c>
    </row>
    <row r="72" spans="1:31">
      <c r="A72" t="s">
        <v>24</v>
      </c>
      <c r="B72" t="s">
        <v>124</v>
      </c>
      <c r="C72" s="1">
        <v>47.914541824058702</v>
      </c>
      <c r="D72">
        <v>90</v>
      </c>
      <c r="E72">
        <v>32</v>
      </c>
      <c r="F72" s="1">
        <v>7014.8879872033804</v>
      </c>
      <c r="G72" t="s">
        <v>35</v>
      </c>
      <c r="H72">
        <v>10</v>
      </c>
      <c r="I72">
        <v>12</v>
      </c>
      <c r="J72">
        <v>22</v>
      </c>
      <c r="K72">
        <v>4</v>
      </c>
      <c r="L72" t="s">
        <v>27</v>
      </c>
      <c r="M72">
        <v>6.3157177546007199</v>
      </c>
      <c r="N72" t="s">
        <v>39</v>
      </c>
      <c r="O72" t="s">
        <v>53</v>
      </c>
      <c r="P72">
        <v>22</v>
      </c>
      <c r="Q72">
        <v>775</v>
      </c>
      <c r="R72">
        <v>16</v>
      </c>
      <c r="S72">
        <v>11.440781823761199</v>
      </c>
      <c r="T72" t="s">
        <v>64</v>
      </c>
      <c r="U72">
        <v>1.8305755986122301</v>
      </c>
      <c r="V72" t="s">
        <v>31</v>
      </c>
      <c r="W72" t="s">
        <v>41</v>
      </c>
      <c r="X72">
        <v>183.27289874871099</v>
      </c>
      <c r="Y72" t="str">
        <f t="shared" si="7"/>
        <v>On Time</v>
      </c>
      <c r="Z72" t="str">
        <f t="shared" si="8"/>
        <v>Critical</v>
      </c>
      <c r="AA72" t="str">
        <f t="shared" si="9"/>
        <v>Exceeds lead time</v>
      </c>
      <c r="AB72" t="str">
        <f t="shared" si="10"/>
        <v>Medium</v>
      </c>
      <c r="AC72">
        <f t="shared" si="11"/>
        <v>174455.39060546222</v>
      </c>
      <c r="AD72">
        <f t="shared" si="12"/>
        <v>1.8036297116882485</v>
      </c>
      <c r="AE72">
        <f t="shared" si="13"/>
        <v>43</v>
      </c>
    </row>
    <row r="73" spans="1:31">
      <c r="A73" t="s">
        <v>57</v>
      </c>
      <c r="B73" t="s">
        <v>125</v>
      </c>
      <c r="C73" s="1">
        <v>6.3815331627479601</v>
      </c>
      <c r="D73">
        <v>14</v>
      </c>
      <c r="E73">
        <v>637</v>
      </c>
      <c r="F73" s="1">
        <v>8180.3370854254399</v>
      </c>
      <c r="G73" t="s">
        <v>35</v>
      </c>
      <c r="H73">
        <v>76</v>
      </c>
      <c r="I73">
        <v>2</v>
      </c>
      <c r="J73">
        <v>26</v>
      </c>
      <c r="K73">
        <v>6</v>
      </c>
      <c r="L73" t="s">
        <v>36</v>
      </c>
      <c r="M73">
        <v>9.2281903170525101</v>
      </c>
      <c r="N73" t="s">
        <v>61</v>
      </c>
      <c r="O73" t="s">
        <v>53</v>
      </c>
      <c r="P73">
        <v>2</v>
      </c>
      <c r="Q73">
        <v>258</v>
      </c>
      <c r="R73">
        <v>10</v>
      </c>
      <c r="S73">
        <v>30.661677477859499</v>
      </c>
      <c r="T73" t="s">
        <v>30</v>
      </c>
      <c r="U73">
        <v>2.07875060787496</v>
      </c>
      <c r="V73" t="s">
        <v>31</v>
      </c>
      <c r="W73" t="s">
        <v>48</v>
      </c>
      <c r="X73">
        <v>405.167067888855</v>
      </c>
      <c r="Y73" t="str">
        <f t="shared" si="7"/>
        <v>On Time</v>
      </c>
      <c r="Z73" t="str">
        <f t="shared" si="8"/>
        <v>OK</v>
      </c>
      <c r="AA73" t="str">
        <f t="shared" si="9"/>
        <v>Exceeds lead time</v>
      </c>
      <c r="AB73" t="str">
        <f t="shared" si="10"/>
        <v>High</v>
      </c>
      <c r="AC73">
        <f t="shared" si="11"/>
        <v>161521.26599948306</v>
      </c>
      <c r="AD73">
        <f t="shared" si="12"/>
        <v>2.3627501450718764</v>
      </c>
      <c r="AE73">
        <f t="shared" si="13"/>
        <v>28</v>
      </c>
    </row>
    <row r="74" spans="1:31">
      <c r="A74" t="s">
        <v>57</v>
      </c>
      <c r="B74" t="s">
        <v>126</v>
      </c>
      <c r="C74" s="1">
        <v>90.204427520528</v>
      </c>
      <c r="D74">
        <v>88</v>
      </c>
      <c r="E74">
        <v>478</v>
      </c>
      <c r="F74" s="1">
        <v>2633.1219813122498</v>
      </c>
      <c r="G74" t="s">
        <v>26</v>
      </c>
      <c r="H74">
        <v>57</v>
      </c>
      <c r="I74">
        <v>29</v>
      </c>
      <c r="J74">
        <v>77</v>
      </c>
      <c r="K74">
        <v>9</v>
      </c>
      <c r="L74" t="s">
        <v>36</v>
      </c>
      <c r="M74">
        <v>6.5996141596895397</v>
      </c>
      <c r="N74" t="s">
        <v>39</v>
      </c>
      <c r="O74" t="s">
        <v>53</v>
      </c>
      <c r="P74">
        <v>21</v>
      </c>
      <c r="Q74">
        <v>152</v>
      </c>
      <c r="R74">
        <v>11</v>
      </c>
      <c r="S74">
        <v>55.760492895244198</v>
      </c>
      <c r="T74" t="s">
        <v>30</v>
      </c>
      <c r="U74">
        <v>3.2133296074383</v>
      </c>
      <c r="V74" t="s">
        <v>47</v>
      </c>
      <c r="W74" t="s">
        <v>32</v>
      </c>
      <c r="X74">
        <v>677.94456984618296</v>
      </c>
      <c r="Y74" t="str">
        <f t="shared" si="7"/>
        <v>Late</v>
      </c>
      <c r="Z74" t="str">
        <f t="shared" si="8"/>
        <v>OK</v>
      </c>
      <c r="AA74" t="str">
        <f t="shared" si="9"/>
        <v>Within lead time</v>
      </c>
      <c r="AB74" t="str">
        <f t="shared" si="10"/>
        <v>Low</v>
      </c>
      <c r="AC74">
        <f t="shared" si="11"/>
        <v>161521.26599948306</v>
      </c>
      <c r="AD74">
        <f t="shared" si="12"/>
        <v>1.8036297116882485</v>
      </c>
      <c r="AE74">
        <f t="shared" si="13"/>
        <v>28</v>
      </c>
    </row>
    <row r="75" spans="1:31">
      <c r="A75" t="s">
        <v>57</v>
      </c>
      <c r="B75" t="s">
        <v>127</v>
      </c>
      <c r="C75" s="1">
        <v>83.851017681304597</v>
      </c>
      <c r="D75">
        <v>41</v>
      </c>
      <c r="E75">
        <v>375</v>
      </c>
      <c r="F75" s="1">
        <v>7910.8869161406801</v>
      </c>
      <c r="G75" t="s">
        <v>55</v>
      </c>
      <c r="H75">
        <v>17</v>
      </c>
      <c r="I75">
        <v>25</v>
      </c>
      <c r="J75">
        <v>66</v>
      </c>
      <c r="K75">
        <v>5</v>
      </c>
      <c r="L75" t="s">
        <v>27</v>
      </c>
      <c r="M75">
        <v>1.5129368369160701</v>
      </c>
      <c r="N75" t="s">
        <v>52</v>
      </c>
      <c r="O75" t="s">
        <v>62</v>
      </c>
      <c r="P75">
        <v>13</v>
      </c>
      <c r="Q75">
        <v>444</v>
      </c>
      <c r="R75">
        <v>4</v>
      </c>
      <c r="S75">
        <v>46.870238797617098</v>
      </c>
      <c r="T75" t="s">
        <v>46</v>
      </c>
      <c r="U75">
        <v>4.6205460645137002</v>
      </c>
      <c r="V75" t="s">
        <v>31</v>
      </c>
      <c r="W75" t="s">
        <v>48</v>
      </c>
      <c r="X75">
        <v>866.472800129657</v>
      </c>
      <c r="Y75" t="str">
        <f t="shared" si="7"/>
        <v>On Time</v>
      </c>
      <c r="Z75" t="str">
        <f t="shared" si="8"/>
        <v>Critical</v>
      </c>
      <c r="AA75" t="str">
        <f t="shared" si="9"/>
        <v>Within lead time</v>
      </c>
      <c r="AB75" t="str">
        <f t="shared" si="10"/>
        <v>Medium</v>
      </c>
      <c r="AC75">
        <f t="shared" si="11"/>
        <v>161521.26599948306</v>
      </c>
      <c r="AD75">
        <f t="shared" si="12"/>
        <v>2.3373974005913354</v>
      </c>
      <c r="AE75">
        <f t="shared" si="13"/>
        <v>43</v>
      </c>
    </row>
    <row r="76" spans="1:31">
      <c r="A76" t="s">
        <v>24</v>
      </c>
      <c r="B76" t="s">
        <v>128</v>
      </c>
      <c r="C76" s="1">
        <v>3.1700114135661499</v>
      </c>
      <c r="D76">
        <v>64</v>
      </c>
      <c r="E76">
        <v>904</v>
      </c>
      <c r="F76" s="1">
        <v>5709.9452959692799</v>
      </c>
      <c r="G76" t="s">
        <v>35</v>
      </c>
      <c r="H76">
        <v>41</v>
      </c>
      <c r="I76">
        <v>6</v>
      </c>
      <c r="J76">
        <v>1</v>
      </c>
      <c r="K76">
        <v>5</v>
      </c>
      <c r="L76" t="s">
        <v>36</v>
      </c>
      <c r="M76">
        <v>5.2376546500374399</v>
      </c>
      <c r="N76" t="s">
        <v>52</v>
      </c>
      <c r="O76" t="s">
        <v>50</v>
      </c>
      <c r="P76">
        <v>1</v>
      </c>
      <c r="Q76">
        <v>919</v>
      </c>
      <c r="R76">
        <v>9</v>
      </c>
      <c r="S76">
        <v>80.580852156447804</v>
      </c>
      <c r="T76" t="s">
        <v>46</v>
      </c>
      <c r="U76">
        <v>0.39661272410993498</v>
      </c>
      <c r="V76" t="s">
        <v>47</v>
      </c>
      <c r="W76" t="s">
        <v>48</v>
      </c>
      <c r="X76">
        <v>341.55265678322297</v>
      </c>
      <c r="Y76" t="str">
        <f t="shared" si="7"/>
        <v>On Time</v>
      </c>
      <c r="Z76" t="str">
        <f t="shared" si="8"/>
        <v>Low</v>
      </c>
      <c r="AA76" t="str">
        <f t="shared" si="9"/>
        <v>Exceeds lead time</v>
      </c>
      <c r="AB76" t="str">
        <f t="shared" si="10"/>
        <v>Medium</v>
      </c>
      <c r="AC76">
        <f t="shared" si="11"/>
        <v>174455.39060546222</v>
      </c>
      <c r="AD76">
        <f t="shared" si="12"/>
        <v>2.3373974005913354</v>
      </c>
      <c r="AE76">
        <f t="shared" si="13"/>
        <v>28</v>
      </c>
    </row>
    <row r="77" spans="1:31">
      <c r="A77" t="s">
        <v>33</v>
      </c>
      <c r="B77" t="s">
        <v>129</v>
      </c>
      <c r="C77" s="1">
        <v>92.996884233970604</v>
      </c>
      <c r="D77">
        <v>29</v>
      </c>
      <c r="E77">
        <v>106</v>
      </c>
      <c r="F77" s="1">
        <v>1889.07358977933</v>
      </c>
      <c r="G77" t="s">
        <v>26</v>
      </c>
      <c r="H77">
        <v>16</v>
      </c>
      <c r="I77">
        <v>20</v>
      </c>
      <c r="J77">
        <v>56</v>
      </c>
      <c r="K77">
        <v>10</v>
      </c>
      <c r="L77" t="s">
        <v>43</v>
      </c>
      <c r="M77">
        <v>2.47389776104546</v>
      </c>
      <c r="N77" t="s">
        <v>39</v>
      </c>
      <c r="O77" t="s">
        <v>62</v>
      </c>
      <c r="P77">
        <v>25</v>
      </c>
      <c r="Q77">
        <v>759</v>
      </c>
      <c r="R77">
        <v>11</v>
      </c>
      <c r="S77">
        <v>48.064782640006499</v>
      </c>
      <c r="T77" t="s">
        <v>64</v>
      </c>
      <c r="U77">
        <v>2.0300690886687498</v>
      </c>
      <c r="V77" t="s">
        <v>40</v>
      </c>
      <c r="W77" t="s">
        <v>41</v>
      </c>
      <c r="X77">
        <v>873.12964801765099</v>
      </c>
      <c r="Y77" t="str">
        <f t="shared" si="7"/>
        <v>Late</v>
      </c>
      <c r="Z77" t="str">
        <f t="shared" si="8"/>
        <v>Critical</v>
      </c>
      <c r="AA77" t="str">
        <f t="shared" si="9"/>
        <v>Within lead time</v>
      </c>
      <c r="AB77" t="str">
        <f t="shared" si="10"/>
        <v>Low</v>
      </c>
      <c r="AC77">
        <f t="shared" si="11"/>
        <v>241628.16213306302</v>
      </c>
      <c r="AD77">
        <f t="shared" si="12"/>
        <v>1.8036297116882485</v>
      </c>
      <c r="AE77">
        <f t="shared" si="13"/>
        <v>29</v>
      </c>
    </row>
    <row r="78" spans="1:31">
      <c r="A78" t="s">
        <v>24</v>
      </c>
      <c r="B78" t="s">
        <v>130</v>
      </c>
      <c r="C78" s="1">
        <v>69.108799547430294</v>
      </c>
      <c r="D78">
        <v>23</v>
      </c>
      <c r="E78">
        <v>241</v>
      </c>
      <c r="F78" s="1">
        <v>5328.3759842977497</v>
      </c>
      <c r="G78" t="s">
        <v>55</v>
      </c>
      <c r="H78">
        <v>38</v>
      </c>
      <c r="I78">
        <v>1</v>
      </c>
      <c r="J78">
        <v>22</v>
      </c>
      <c r="K78">
        <v>10</v>
      </c>
      <c r="L78" t="s">
        <v>36</v>
      </c>
      <c r="M78">
        <v>7.0545383368369201</v>
      </c>
      <c r="N78" t="s">
        <v>61</v>
      </c>
      <c r="O78" t="s">
        <v>53</v>
      </c>
      <c r="P78">
        <v>25</v>
      </c>
      <c r="Q78">
        <v>985</v>
      </c>
      <c r="R78">
        <v>24</v>
      </c>
      <c r="S78">
        <v>64.323597795600193</v>
      </c>
      <c r="T78" t="s">
        <v>30</v>
      </c>
      <c r="U78">
        <v>2.1800374515822099</v>
      </c>
      <c r="V78" t="s">
        <v>47</v>
      </c>
      <c r="W78" t="s">
        <v>48</v>
      </c>
      <c r="X78">
        <v>997.41345013319403</v>
      </c>
      <c r="Y78" t="str">
        <f t="shared" si="7"/>
        <v>Late</v>
      </c>
      <c r="Z78" t="str">
        <f t="shared" si="8"/>
        <v>Low</v>
      </c>
      <c r="AA78" t="str">
        <f t="shared" si="9"/>
        <v>Exceeds lead time</v>
      </c>
      <c r="AB78" t="str">
        <f t="shared" si="10"/>
        <v>Medium</v>
      </c>
      <c r="AC78">
        <f t="shared" si="11"/>
        <v>174455.39060546222</v>
      </c>
      <c r="AD78">
        <f t="shared" si="12"/>
        <v>2.3627501450718764</v>
      </c>
      <c r="AE78">
        <f t="shared" si="13"/>
        <v>28</v>
      </c>
    </row>
    <row r="79" spans="1:31">
      <c r="A79" t="s">
        <v>24</v>
      </c>
      <c r="B79" t="s">
        <v>131</v>
      </c>
      <c r="C79" s="1">
        <v>57.449742958971399</v>
      </c>
      <c r="D79">
        <v>14</v>
      </c>
      <c r="E79">
        <v>359</v>
      </c>
      <c r="F79" s="1">
        <v>2483.7601775427902</v>
      </c>
      <c r="G79" t="s">
        <v>38</v>
      </c>
      <c r="H79">
        <v>96</v>
      </c>
      <c r="I79">
        <v>28</v>
      </c>
      <c r="J79">
        <v>57</v>
      </c>
      <c r="K79">
        <v>4</v>
      </c>
      <c r="L79" t="s">
        <v>27</v>
      </c>
      <c r="M79">
        <v>6.7809466256178901</v>
      </c>
      <c r="N79" t="s">
        <v>39</v>
      </c>
      <c r="O79" t="s">
        <v>45</v>
      </c>
      <c r="P79">
        <v>26</v>
      </c>
      <c r="Q79">
        <v>334</v>
      </c>
      <c r="R79">
        <v>5</v>
      </c>
      <c r="S79">
        <v>42.952444748991802</v>
      </c>
      <c r="T79" t="s">
        <v>64</v>
      </c>
      <c r="U79">
        <v>3.0551418183075398</v>
      </c>
      <c r="V79" t="s">
        <v>31</v>
      </c>
      <c r="W79" t="s">
        <v>32</v>
      </c>
      <c r="X79">
        <v>852.56809891984994</v>
      </c>
      <c r="Y79" t="str">
        <f t="shared" si="7"/>
        <v>On Time</v>
      </c>
      <c r="Z79" t="str">
        <f t="shared" si="8"/>
        <v>OK</v>
      </c>
      <c r="AA79" t="str">
        <f t="shared" si="9"/>
        <v>Within lead time</v>
      </c>
      <c r="AB79" t="str">
        <f t="shared" si="10"/>
        <v>Low</v>
      </c>
      <c r="AC79">
        <f t="shared" si="11"/>
        <v>174455.39060546222</v>
      </c>
      <c r="AD79">
        <f t="shared" si="12"/>
        <v>1.8036297116882485</v>
      </c>
      <c r="AE79">
        <f t="shared" si="13"/>
        <v>43</v>
      </c>
    </row>
    <row r="80" spans="1:31">
      <c r="A80" t="s">
        <v>24</v>
      </c>
      <c r="B80" t="s">
        <v>132</v>
      </c>
      <c r="C80" s="1">
        <v>6.30688317611191</v>
      </c>
      <c r="D80">
        <v>50</v>
      </c>
      <c r="E80">
        <v>946</v>
      </c>
      <c r="F80" s="1">
        <v>1292.45841793775</v>
      </c>
      <c r="G80" t="s">
        <v>38</v>
      </c>
      <c r="H80">
        <v>5</v>
      </c>
      <c r="I80">
        <v>4</v>
      </c>
      <c r="J80">
        <v>51</v>
      </c>
      <c r="K80">
        <v>5</v>
      </c>
      <c r="L80" t="s">
        <v>27</v>
      </c>
      <c r="M80">
        <v>8.4670497708619905</v>
      </c>
      <c r="N80" t="s">
        <v>44</v>
      </c>
      <c r="O80" t="s">
        <v>29</v>
      </c>
      <c r="P80">
        <v>25</v>
      </c>
      <c r="Q80">
        <v>858</v>
      </c>
      <c r="R80">
        <v>21</v>
      </c>
      <c r="S80">
        <v>71.126514720403307</v>
      </c>
      <c r="T80" t="s">
        <v>30</v>
      </c>
      <c r="U80">
        <v>4.0968813324704501</v>
      </c>
      <c r="V80" t="s">
        <v>56</v>
      </c>
      <c r="W80" t="s">
        <v>41</v>
      </c>
      <c r="X80">
        <v>323.59220343132199</v>
      </c>
      <c r="Y80" t="str">
        <f t="shared" si="7"/>
        <v>On Time</v>
      </c>
      <c r="Z80" t="str">
        <f t="shared" si="8"/>
        <v>Critical</v>
      </c>
      <c r="AA80" t="str">
        <f t="shared" si="9"/>
        <v>Exceeds lead time</v>
      </c>
      <c r="AB80" t="str">
        <f t="shared" si="10"/>
        <v>Low</v>
      </c>
      <c r="AC80">
        <f t="shared" si="11"/>
        <v>174455.39060546222</v>
      </c>
      <c r="AD80">
        <f t="shared" si="12"/>
        <v>2.6654083441491982</v>
      </c>
      <c r="AE80">
        <f t="shared" si="13"/>
        <v>43</v>
      </c>
    </row>
    <row r="81" spans="1:31">
      <c r="A81" t="s">
        <v>24</v>
      </c>
      <c r="B81" t="s">
        <v>133</v>
      </c>
      <c r="C81" s="1">
        <v>57.057031221103202</v>
      </c>
      <c r="D81">
        <v>56</v>
      </c>
      <c r="E81">
        <v>198</v>
      </c>
      <c r="F81" s="1">
        <v>7888.7232684270803</v>
      </c>
      <c r="G81" t="s">
        <v>26</v>
      </c>
      <c r="H81">
        <v>31</v>
      </c>
      <c r="I81">
        <v>25</v>
      </c>
      <c r="J81">
        <v>20</v>
      </c>
      <c r="K81">
        <v>1</v>
      </c>
      <c r="L81" t="s">
        <v>27</v>
      </c>
      <c r="M81">
        <v>6.49632536429504</v>
      </c>
      <c r="N81" t="s">
        <v>28</v>
      </c>
      <c r="O81" t="s">
        <v>53</v>
      </c>
      <c r="P81">
        <v>5</v>
      </c>
      <c r="Q81">
        <v>228</v>
      </c>
      <c r="R81">
        <v>12</v>
      </c>
      <c r="S81">
        <v>57.870902924036201</v>
      </c>
      <c r="T81" t="s">
        <v>30</v>
      </c>
      <c r="U81">
        <v>0.16587162748060799</v>
      </c>
      <c r="V81" t="s">
        <v>40</v>
      </c>
      <c r="W81" t="s">
        <v>41</v>
      </c>
      <c r="X81">
        <v>351.50421933503799</v>
      </c>
      <c r="Y81" t="str">
        <f t="shared" si="7"/>
        <v>On Time</v>
      </c>
      <c r="Z81" t="str">
        <f t="shared" si="8"/>
        <v>Low</v>
      </c>
      <c r="AA81" t="str">
        <f t="shared" si="9"/>
        <v>Within lead time</v>
      </c>
      <c r="AB81" t="str">
        <f t="shared" si="10"/>
        <v>Medium</v>
      </c>
      <c r="AC81">
        <f t="shared" si="11"/>
        <v>174455.39060546222</v>
      </c>
      <c r="AD81">
        <f t="shared" si="12"/>
        <v>2.4657860307644657</v>
      </c>
      <c r="AE81">
        <f t="shared" si="13"/>
        <v>43</v>
      </c>
    </row>
    <row r="82" spans="1:31">
      <c r="A82" t="s">
        <v>33</v>
      </c>
      <c r="B82" t="s">
        <v>134</v>
      </c>
      <c r="C82" s="1">
        <v>91.128318350444303</v>
      </c>
      <c r="D82">
        <v>75</v>
      </c>
      <c r="E82">
        <v>872</v>
      </c>
      <c r="F82" s="1">
        <v>8651.67268298206</v>
      </c>
      <c r="G82" t="s">
        <v>38</v>
      </c>
      <c r="H82">
        <v>39</v>
      </c>
      <c r="I82">
        <v>14</v>
      </c>
      <c r="J82">
        <v>41</v>
      </c>
      <c r="K82">
        <v>2</v>
      </c>
      <c r="L82" t="s">
        <v>43</v>
      </c>
      <c r="M82">
        <v>2.8331846794189701</v>
      </c>
      <c r="N82" t="s">
        <v>28</v>
      </c>
      <c r="O82" t="s">
        <v>62</v>
      </c>
      <c r="P82">
        <v>8</v>
      </c>
      <c r="Q82">
        <v>202</v>
      </c>
      <c r="R82">
        <v>5</v>
      </c>
      <c r="S82">
        <v>76.961228023819999</v>
      </c>
      <c r="T82" t="s">
        <v>46</v>
      </c>
      <c r="U82">
        <v>2.8496621985053299</v>
      </c>
      <c r="V82" t="s">
        <v>56</v>
      </c>
      <c r="W82" t="s">
        <v>32</v>
      </c>
      <c r="X82">
        <v>787.77985049434403</v>
      </c>
      <c r="Y82" t="str">
        <f t="shared" si="7"/>
        <v>On Time</v>
      </c>
      <c r="Z82" t="str">
        <f t="shared" si="8"/>
        <v>Low</v>
      </c>
      <c r="AA82" t="str">
        <f t="shared" si="9"/>
        <v>Within lead time</v>
      </c>
      <c r="AB82" t="str">
        <f t="shared" si="10"/>
        <v>High</v>
      </c>
      <c r="AC82">
        <f t="shared" si="11"/>
        <v>241628.16213306302</v>
      </c>
      <c r="AD82">
        <f t="shared" si="12"/>
        <v>2.4657860307644657</v>
      </c>
      <c r="AE82">
        <f t="shared" si="13"/>
        <v>29</v>
      </c>
    </row>
    <row r="83" spans="1:31">
      <c r="A83" t="s">
        <v>24</v>
      </c>
      <c r="B83" t="s">
        <v>135</v>
      </c>
      <c r="C83" s="1">
        <v>72.819206930318202</v>
      </c>
      <c r="D83">
        <v>9</v>
      </c>
      <c r="E83">
        <v>774</v>
      </c>
      <c r="F83" s="1">
        <v>4384.4134000458598</v>
      </c>
      <c r="G83" t="s">
        <v>38</v>
      </c>
      <c r="H83">
        <v>48</v>
      </c>
      <c r="I83">
        <v>6</v>
      </c>
      <c r="J83">
        <v>8</v>
      </c>
      <c r="K83">
        <v>5</v>
      </c>
      <c r="L83" t="s">
        <v>27</v>
      </c>
      <c r="M83">
        <v>4.0662775015120403</v>
      </c>
      <c r="N83" t="s">
        <v>28</v>
      </c>
      <c r="O83" t="s">
        <v>50</v>
      </c>
      <c r="P83">
        <v>28</v>
      </c>
      <c r="Q83">
        <v>698</v>
      </c>
      <c r="R83">
        <v>1</v>
      </c>
      <c r="S83">
        <v>19.789592941903599</v>
      </c>
      <c r="T83" t="s">
        <v>30</v>
      </c>
      <c r="U83">
        <v>2.54754712154871</v>
      </c>
      <c r="V83" t="s">
        <v>47</v>
      </c>
      <c r="W83" t="s">
        <v>32</v>
      </c>
      <c r="X83">
        <v>276.77833594679799</v>
      </c>
      <c r="Y83" t="str">
        <f t="shared" si="7"/>
        <v>On Time</v>
      </c>
      <c r="Z83" t="str">
        <f t="shared" si="8"/>
        <v>Low</v>
      </c>
      <c r="AA83" t="str">
        <f t="shared" si="9"/>
        <v>Within lead time</v>
      </c>
      <c r="AB83" t="str">
        <f t="shared" si="10"/>
        <v>Low</v>
      </c>
      <c r="AC83">
        <f t="shared" si="11"/>
        <v>174455.39060546222</v>
      </c>
      <c r="AD83">
        <f t="shared" si="12"/>
        <v>2.4657860307644657</v>
      </c>
      <c r="AE83">
        <f t="shared" si="13"/>
        <v>43</v>
      </c>
    </row>
    <row r="84" spans="1:31">
      <c r="A84" t="s">
        <v>33</v>
      </c>
      <c r="B84" t="s">
        <v>136</v>
      </c>
      <c r="C84" s="1">
        <v>17.034930739467899</v>
      </c>
      <c r="D84">
        <v>13</v>
      </c>
      <c r="E84">
        <v>336</v>
      </c>
      <c r="F84" s="1">
        <v>2943.3818676094502</v>
      </c>
      <c r="G84" t="s">
        <v>38</v>
      </c>
      <c r="H84">
        <v>42</v>
      </c>
      <c r="I84">
        <v>19</v>
      </c>
      <c r="J84">
        <v>72</v>
      </c>
      <c r="K84">
        <v>1</v>
      </c>
      <c r="L84" t="s">
        <v>36</v>
      </c>
      <c r="M84">
        <v>4.7081818735419301</v>
      </c>
      <c r="N84" t="s">
        <v>61</v>
      </c>
      <c r="O84" t="s">
        <v>29</v>
      </c>
      <c r="P84">
        <v>6</v>
      </c>
      <c r="Q84">
        <v>955</v>
      </c>
      <c r="R84">
        <v>26</v>
      </c>
      <c r="S84">
        <v>4.4652784349432402</v>
      </c>
      <c r="T84" t="s">
        <v>30</v>
      </c>
      <c r="U84">
        <v>4.1378770486223502</v>
      </c>
      <c r="V84" t="s">
        <v>31</v>
      </c>
      <c r="W84" t="s">
        <v>41</v>
      </c>
      <c r="X84">
        <v>589.97855562804</v>
      </c>
      <c r="Y84" t="str">
        <f t="shared" si="7"/>
        <v>On Time</v>
      </c>
      <c r="Z84" t="str">
        <f t="shared" si="8"/>
        <v>Low</v>
      </c>
      <c r="AA84" t="str">
        <f t="shared" si="9"/>
        <v>Exceeds lead time</v>
      </c>
      <c r="AB84" t="str">
        <f t="shared" si="10"/>
        <v>Low</v>
      </c>
      <c r="AC84">
        <f t="shared" si="11"/>
        <v>241628.16213306302</v>
      </c>
      <c r="AD84">
        <f t="shared" si="12"/>
        <v>2.3627501450718764</v>
      </c>
      <c r="AE84">
        <f t="shared" si="13"/>
        <v>28</v>
      </c>
    </row>
    <row r="85" spans="1:31">
      <c r="A85" t="s">
        <v>24</v>
      </c>
      <c r="B85" t="s">
        <v>137</v>
      </c>
      <c r="C85" s="1">
        <v>68.911246211606297</v>
      </c>
      <c r="D85">
        <v>82</v>
      </c>
      <c r="E85">
        <v>663</v>
      </c>
      <c r="F85" s="1">
        <v>2411.7546321104901</v>
      </c>
      <c r="G85" t="s">
        <v>38</v>
      </c>
      <c r="H85">
        <v>65</v>
      </c>
      <c r="I85">
        <v>24</v>
      </c>
      <c r="J85">
        <v>7</v>
      </c>
      <c r="K85">
        <v>8</v>
      </c>
      <c r="L85" t="s">
        <v>27</v>
      </c>
      <c r="M85">
        <v>4.94983957799694</v>
      </c>
      <c r="N85" t="s">
        <v>39</v>
      </c>
      <c r="O85" t="s">
        <v>53</v>
      </c>
      <c r="P85">
        <v>20</v>
      </c>
      <c r="Q85">
        <v>443</v>
      </c>
      <c r="R85">
        <v>5</v>
      </c>
      <c r="S85">
        <v>97.730593800533001</v>
      </c>
      <c r="T85" t="s">
        <v>46</v>
      </c>
      <c r="U85">
        <v>0.77300613406724705</v>
      </c>
      <c r="V85" t="s">
        <v>31</v>
      </c>
      <c r="W85" t="s">
        <v>48</v>
      </c>
      <c r="X85">
        <v>682.97101822609295</v>
      </c>
      <c r="Y85" t="str">
        <f t="shared" si="7"/>
        <v>Late</v>
      </c>
      <c r="Z85" t="str">
        <f t="shared" si="8"/>
        <v>OK</v>
      </c>
      <c r="AA85" t="str">
        <f t="shared" si="9"/>
        <v>Within lead time</v>
      </c>
      <c r="AB85" t="str">
        <f t="shared" si="10"/>
        <v>Low</v>
      </c>
      <c r="AC85">
        <f t="shared" si="11"/>
        <v>174455.39060546222</v>
      </c>
      <c r="AD85">
        <f t="shared" si="12"/>
        <v>1.8036297116882485</v>
      </c>
      <c r="AE85">
        <f t="shared" si="13"/>
        <v>43</v>
      </c>
    </row>
    <row r="86" spans="1:31">
      <c r="A86" t="s">
        <v>24</v>
      </c>
      <c r="B86" t="s">
        <v>138</v>
      </c>
      <c r="C86" s="1">
        <v>89.104367292102197</v>
      </c>
      <c r="D86">
        <v>99</v>
      </c>
      <c r="E86">
        <v>618</v>
      </c>
      <c r="F86" s="1">
        <v>2048.2900998487098</v>
      </c>
      <c r="G86" t="s">
        <v>38</v>
      </c>
      <c r="H86">
        <v>73</v>
      </c>
      <c r="I86">
        <v>26</v>
      </c>
      <c r="J86">
        <v>80</v>
      </c>
      <c r="K86">
        <v>10</v>
      </c>
      <c r="L86" t="s">
        <v>36</v>
      </c>
      <c r="M86">
        <v>8.3816156249226292</v>
      </c>
      <c r="N86" t="s">
        <v>44</v>
      </c>
      <c r="O86" t="s">
        <v>62</v>
      </c>
      <c r="P86">
        <v>24</v>
      </c>
      <c r="Q86">
        <v>589</v>
      </c>
      <c r="R86">
        <v>22</v>
      </c>
      <c r="S86">
        <v>33.808636513209002</v>
      </c>
      <c r="T86" t="s">
        <v>64</v>
      </c>
      <c r="U86">
        <v>4.8434565771180402</v>
      </c>
      <c r="V86" t="s">
        <v>40</v>
      </c>
      <c r="W86" t="s">
        <v>32</v>
      </c>
      <c r="X86">
        <v>465.45700596368698</v>
      </c>
      <c r="Y86" t="str">
        <f t="shared" si="7"/>
        <v>Late</v>
      </c>
      <c r="Z86" t="str">
        <f t="shared" si="8"/>
        <v>OK</v>
      </c>
      <c r="AA86" t="str">
        <f t="shared" si="9"/>
        <v>Within lead time</v>
      </c>
      <c r="AB86" t="str">
        <f t="shared" si="10"/>
        <v>Low</v>
      </c>
      <c r="AC86">
        <f t="shared" si="11"/>
        <v>174455.39060546222</v>
      </c>
      <c r="AD86">
        <f t="shared" si="12"/>
        <v>2.6654083441491982</v>
      </c>
      <c r="AE86">
        <f t="shared" si="13"/>
        <v>28</v>
      </c>
    </row>
    <row r="87" spans="1:31">
      <c r="A87" t="s">
        <v>57</v>
      </c>
      <c r="B87" t="s">
        <v>139</v>
      </c>
      <c r="C87" s="1">
        <v>76.962994415193805</v>
      </c>
      <c r="D87">
        <v>83</v>
      </c>
      <c r="E87">
        <v>25</v>
      </c>
      <c r="F87" s="1">
        <v>8684.6130592538502</v>
      </c>
      <c r="G87" t="s">
        <v>35</v>
      </c>
      <c r="H87">
        <v>15</v>
      </c>
      <c r="I87">
        <v>18</v>
      </c>
      <c r="J87">
        <v>66</v>
      </c>
      <c r="K87">
        <v>2</v>
      </c>
      <c r="L87" t="s">
        <v>43</v>
      </c>
      <c r="M87">
        <v>8.2491687048717193</v>
      </c>
      <c r="N87" t="s">
        <v>44</v>
      </c>
      <c r="O87" t="s">
        <v>62</v>
      </c>
      <c r="P87">
        <v>4</v>
      </c>
      <c r="Q87">
        <v>211</v>
      </c>
      <c r="R87">
        <v>2</v>
      </c>
      <c r="S87">
        <v>69.929345518672307</v>
      </c>
      <c r="T87" t="s">
        <v>46</v>
      </c>
      <c r="U87">
        <v>1.3744289997457499</v>
      </c>
      <c r="V87" t="s">
        <v>31</v>
      </c>
      <c r="W87" t="s">
        <v>32</v>
      </c>
      <c r="X87">
        <v>842.68683000464102</v>
      </c>
      <c r="Y87" t="str">
        <f t="shared" si="7"/>
        <v>On Time</v>
      </c>
      <c r="Z87" t="str">
        <f t="shared" si="8"/>
        <v>Critical</v>
      </c>
      <c r="AA87" t="str">
        <f t="shared" si="9"/>
        <v>Within lead time</v>
      </c>
      <c r="AB87" t="str">
        <f t="shared" si="10"/>
        <v>High</v>
      </c>
      <c r="AC87">
        <f t="shared" si="11"/>
        <v>161521.26599948306</v>
      </c>
      <c r="AD87">
        <f t="shared" si="12"/>
        <v>2.6654083441491982</v>
      </c>
      <c r="AE87">
        <f t="shared" si="13"/>
        <v>29</v>
      </c>
    </row>
    <row r="88" spans="1:31">
      <c r="A88" t="s">
        <v>33</v>
      </c>
      <c r="B88" t="s">
        <v>140</v>
      </c>
      <c r="C88" s="1">
        <v>19.9981769404042</v>
      </c>
      <c r="D88">
        <v>18</v>
      </c>
      <c r="E88">
        <v>223</v>
      </c>
      <c r="F88" s="1">
        <v>1229.59102856498</v>
      </c>
      <c r="G88" t="s">
        <v>38</v>
      </c>
      <c r="H88">
        <v>32</v>
      </c>
      <c r="I88">
        <v>14</v>
      </c>
      <c r="J88">
        <v>22</v>
      </c>
      <c r="K88">
        <v>6</v>
      </c>
      <c r="L88" t="s">
        <v>27</v>
      </c>
      <c r="M88">
        <v>1.4543053101535499</v>
      </c>
      <c r="N88" t="s">
        <v>39</v>
      </c>
      <c r="O88" t="s">
        <v>29</v>
      </c>
      <c r="P88">
        <v>4</v>
      </c>
      <c r="Q88">
        <v>569</v>
      </c>
      <c r="R88">
        <v>18</v>
      </c>
      <c r="S88">
        <v>74.608969995194599</v>
      </c>
      <c r="T88" t="s">
        <v>64</v>
      </c>
      <c r="U88">
        <v>2.0515129307662399</v>
      </c>
      <c r="V88" t="s">
        <v>47</v>
      </c>
      <c r="W88" t="s">
        <v>48</v>
      </c>
      <c r="X88">
        <v>264.25488983586598</v>
      </c>
      <c r="Y88" t="str">
        <f t="shared" si="7"/>
        <v>On Time</v>
      </c>
      <c r="Z88" t="str">
        <f t="shared" si="8"/>
        <v>Low</v>
      </c>
      <c r="AA88" t="str">
        <f t="shared" si="9"/>
        <v>Exceeds lead time</v>
      </c>
      <c r="AB88" t="str">
        <f t="shared" si="10"/>
        <v>Low</v>
      </c>
      <c r="AC88">
        <f t="shared" si="11"/>
        <v>241628.16213306302</v>
      </c>
      <c r="AD88">
        <f t="shared" si="12"/>
        <v>1.8036297116882485</v>
      </c>
      <c r="AE88">
        <f t="shared" si="13"/>
        <v>43</v>
      </c>
    </row>
    <row r="89" spans="1:31">
      <c r="A89" t="s">
        <v>24</v>
      </c>
      <c r="B89" t="s">
        <v>141</v>
      </c>
      <c r="C89" s="1">
        <v>80.414036650355698</v>
      </c>
      <c r="D89">
        <v>24</v>
      </c>
      <c r="E89">
        <v>79</v>
      </c>
      <c r="F89" s="1">
        <v>5133.8467010866898</v>
      </c>
      <c r="G89" t="s">
        <v>55</v>
      </c>
      <c r="H89">
        <v>5</v>
      </c>
      <c r="I89">
        <v>7</v>
      </c>
      <c r="J89">
        <v>55</v>
      </c>
      <c r="K89">
        <v>10</v>
      </c>
      <c r="L89" t="s">
        <v>36</v>
      </c>
      <c r="M89">
        <v>6.5758037975485299</v>
      </c>
      <c r="N89" t="s">
        <v>28</v>
      </c>
      <c r="O89" t="s">
        <v>62</v>
      </c>
      <c r="P89">
        <v>27</v>
      </c>
      <c r="Q89">
        <v>523</v>
      </c>
      <c r="R89">
        <v>17</v>
      </c>
      <c r="S89">
        <v>28.696996824143099</v>
      </c>
      <c r="T89" t="s">
        <v>46</v>
      </c>
      <c r="U89">
        <v>3.6937377878392699</v>
      </c>
      <c r="V89" t="s">
        <v>56</v>
      </c>
      <c r="W89" t="s">
        <v>32</v>
      </c>
      <c r="X89">
        <v>879.35921773492396</v>
      </c>
      <c r="Y89" t="str">
        <f t="shared" si="7"/>
        <v>Late</v>
      </c>
      <c r="Z89" t="str">
        <f t="shared" si="8"/>
        <v>Critical</v>
      </c>
      <c r="AA89" t="str">
        <f t="shared" si="9"/>
        <v>Exceeds lead time</v>
      </c>
      <c r="AB89" t="str">
        <f t="shared" si="10"/>
        <v>Medium</v>
      </c>
      <c r="AC89">
        <f t="shared" si="11"/>
        <v>174455.39060546222</v>
      </c>
      <c r="AD89">
        <f t="shared" si="12"/>
        <v>2.4657860307644657</v>
      </c>
      <c r="AE89">
        <f t="shared" si="13"/>
        <v>28</v>
      </c>
    </row>
    <row r="90" spans="1:31">
      <c r="A90" t="s">
        <v>57</v>
      </c>
      <c r="B90" t="s">
        <v>142</v>
      </c>
      <c r="C90" s="1">
        <v>75.270406975724995</v>
      </c>
      <c r="D90">
        <v>58</v>
      </c>
      <c r="E90">
        <v>737</v>
      </c>
      <c r="F90" s="1">
        <v>9444.7420330629793</v>
      </c>
      <c r="G90" t="s">
        <v>55</v>
      </c>
      <c r="H90">
        <v>60</v>
      </c>
      <c r="I90">
        <v>18</v>
      </c>
      <c r="J90">
        <v>85</v>
      </c>
      <c r="K90">
        <v>7</v>
      </c>
      <c r="L90" t="s">
        <v>36</v>
      </c>
      <c r="M90">
        <v>3.8012531329310701</v>
      </c>
      <c r="N90" t="s">
        <v>61</v>
      </c>
      <c r="O90" t="s">
        <v>29</v>
      </c>
      <c r="P90">
        <v>21</v>
      </c>
      <c r="Q90">
        <v>953</v>
      </c>
      <c r="R90">
        <v>11</v>
      </c>
      <c r="S90">
        <v>68.1849190570411</v>
      </c>
      <c r="T90" t="s">
        <v>30</v>
      </c>
      <c r="U90">
        <v>0.722204401882931</v>
      </c>
      <c r="V90" t="s">
        <v>56</v>
      </c>
      <c r="W90" t="s">
        <v>48</v>
      </c>
      <c r="X90">
        <v>103.916247960704</v>
      </c>
      <c r="Y90" t="str">
        <f t="shared" si="7"/>
        <v>On Time</v>
      </c>
      <c r="Z90" t="str">
        <f t="shared" si="8"/>
        <v>OK</v>
      </c>
      <c r="AA90" t="str">
        <f t="shared" si="9"/>
        <v>Within lead time</v>
      </c>
      <c r="AB90" t="str">
        <f t="shared" si="10"/>
        <v>High</v>
      </c>
      <c r="AC90">
        <f t="shared" si="11"/>
        <v>161521.26599948306</v>
      </c>
      <c r="AD90">
        <f t="shared" si="12"/>
        <v>2.3627501450718764</v>
      </c>
      <c r="AE90">
        <f t="shared" si="13"/>
        <v>28</v>
      </c>
    </row>
    <row r="91" spans="1:31">
      <c r="A91" t="s">
        <v>57</v>
      </c>
      <c r="B91" t="s">
        <v>143</v>
      </c>
      <c r="C91" s="1">
        <v>97.760085581938597</v>
      </c>
      <c r="D91">
        <v>10</v>
      </c>
      <c r="E91">
        <v>134</v>
      </c>
      <c r="F91" s="1">
        <v>5924.6825668532301</v>
      </c>
      <c r="G91" t="s">
        <v>38</v>
      </c>
      <c r="H91">
        <v>90</v>
      </c>
      <c r="I91">
        <v>1</v>
      </c>
      <c r="J91">
        <v>27</v>
      </c>
      <c r="K91">
        <v>8</v>
      </c>
      <c r="L91" t="s">
        <v>27</v>
      </c>
      <c r="M91">
        <v>9.9298162452772498</v>
      </c>
      <c r="N91" t="s">
        <v>39</v>
      </c>
      <c r="O91" t="s">
        <v>45</v>
      </c>
      <c r="P91">
        <v>23</v>
      </c>
      <c r="Q91">
        <v>370</v>
      </c>
      <c r="R91">
        <v>11</v>
      </c>
      <c r="S91">
        <v>46.603873381644398</v>
      </c>
      <c r="T91" t="s">
        <v>30</v>
      </c>
      <c r="U91">
        <v>1.9076657339590699</v>
      </c>
      <c r="V91" t="s">
        <v>47</v>
      </c>
      <c r="W91" t="s">
        <v>32</v>
      </c>
      <c r="X91">
        <v>517.49997392906005</v>
      </c>
      <c r="Y91" t="str">
        <f t="shared" si="7"/>
        <v>Late</v>
      </c>
      <c r="Z91" t="str">
        <f t="shared" si="8"/>
        <v>OK</v>
      </c>
      <c r="AA91" t="str">
        <f t="shared" si="9"/>
        <v>Exceeds lead time</v>
      </c>
      <c r="AB91" t="str">
        <f t="shared" si="10"/>
        <v>Medium</v>
      </c>
      <c r="AC91">
        <f t="shared" si="11"/>
        <v>161521.26599948306</v>
      </c>
      <c r="AD91">
        <f t="shared" si="12"/>
        <v>1.8036297116882485</v>
      </c>
      <c r="AE91">
        <f t="shared" si="13"/>
        <v>43</v>
      </c>
    </row>
    <row r="92" spans="1:31">
      <c r="A92" t="s">
        <v>33</v>
      </c>
      <c r="B92" t="s">
        <v>144</v>
      </c>
      <c r="C92" s="1">
        <v>13.881913501359101</v>
      </c>
      <c r="D92">
        <v>56</v>
      </c>
      <c r="E92">
        <v>320</v>
      </c>
      <c r="F92" s="1">
        <v>9592.6335702803099</v>
      </c>
      <c r="G92" t="s">
        <v>26</v>
      </c>
      <c r="H92">
        <v>66</v>
      </c>
      <c r="I92">
        <v>18</v>
      </c>
      <c r="J92">
        <v>96</v>
      </c>
      <c r="K92">
        <v>7</v>
      </c>
      <c r="L92" t="s">
        <v>27</v>
      </c>
      <c r="M92">
        <v>7.6744307081126903</v>
      </c>
      <c r="N92" t="s">
        <v>28</v>
      </c>
      <c r="O92" t="s">
        <v>53</v>
      </c>
      <c r="P92">
        <v>8</v>
      </c>
      <c r="Q92">
        <v>585</v>
      </c>
      <c r="R92">
        <v>8</v>
      </c>
      <c r="S92">
        <v>85.675963335797903</v>
      </c>
      <c r="T92" t="s">
        <v>64</v>
      </c>
      <c r="U92">
        <v>1.2193822244013801</v>
      </c>
      <c r="V92" t="s">
        <v>47</v>
      </c>
      <c r="W92" t="s">
        <v>32</v>
      </c>
      <c r="X92">
        <v>990.07847250581096</v>
      </c>
      <c r="Y92" t="str">
        <f t="shared" si="7"/>
        <v>On Time</v>
      </c>
      <c r="Z92" t="str">
        <f t="shared" si="8"/>
        <v>OK</v>
      </c>
      <c r="AA92" t="str">
        <f t="shared" si="9"/>
        <v>Within lead time</v>
      </c>
      <c r="AB92" t="str">
        <f t="shared" si="10"/>
        <v>High</v>
      </c>
      <c r="AC92">
        <f t="shared" si="11"/>
        <v>241628.16213306302</v>
      </c>
      <c r="AD92">
        <f t="shared" si="12"/>
        <v>2.4657860307644657</v>
      </c>
      <c r="AE92">
        <f t="shared" si="13"/>
        <v>43</v>
      </c>
    </row>
    <row r="93" spans="1:31">
      <c r="A93" t="s">
        <v>57</v>
      </c>
      <c r="B93" t="s">
        <v>145</v>
      </c>
      <c r="C93" s="1">
        <v>62.111965463961702</v>
      </c>
      <c r="D93">
        <v>90</v>
      </c>
      <c r="E93">
        <v>916</v>
      </c>
      <c r="F93" s="1">
        <v>1935.20679350759</v>
      </c>
      <c r="G93" t="s">
        <v>55</v>
      </c>
      <c r="H93">
        <v>98</v>
      </c>
      <c r="I93">
        <v>22</v>
      </c>
      <c r="J93">
        <v>85</v>
      </c>
      <c r="K93">
        <v>7</v>
      </c>
      <c r="L93" t="s">
        <v>27</v>
      </c>
      <c r="M93">
        <v>7.4715140844011403</v>
      </c>
      <c r="N93" t="s">
        <v>52</v>
      </c>
      <c r="O93" t="s">
        <v>50</v>
      </c>
      <c r="P93">
        <v>5</v>
      </c>
      <c r="Q93">
        <v>207</v>
      </c>
      <c r="R93">
        <v>28</v>
      </c>
      <c r="S93">
        <v>39.772882502339897</v>
      </c>
      <c r="T93" t="s">
        <v>30</v>
      </c>
      <c r="U93">
        <v>0.62600185820939402</v>
      </c>
      <c r="V93" t="s">
        <v>47</v>
      </c>
      <c r="W93" t="s">
        <v>32</v>
      </c>
      <c r="X93">
        <v>996.77831495062298</v>
      </c>
      <c r="Y93" t="str">
        <f t="shared" si="7"/>
        <v>On Time</v>
      </c>
      <c r="Z93" t="str">
        <f t="shared" si="8"/>
        <v>OK</v>
      </c>
      <c r="AA93" t="str">
        <f t="shared" si="9"/>
        <v>Exceeds lead time</v>
      </c>
      <c r="AB93" t="str">
        <f t="shared" si="10"/>
        <v>Low</v>
      </c>
      <c r="AC93">
        <f t="shared" si="11"/>
        <v>161521.26599948306</v>
      </c>
      <c r="AD93">
        <f t="shared" si="12"/>
        <v>2.3373974005913354</v>
      </c>
      <c r="AE93">
        <f t="shared" si="13"/>
        <v>43</v>
      </c>
    </row>
    <row r="94" spans="1:31">
      <c r="A94" t="s">
        <v>57</v>
      </c>
      <c r="B94" t="s">
        <v>146</v>
      </c>
      <c r="C94" s="1">
        <v>47.714233075820196</v>
      </c>
      <c r="D94">
        <v>44</v>
      </c>
      <c r="E94">
        <v>276</v>
      </c>
      <c r="F94" s="1">
        <v>2100.1297546259302</v>
      </c>
      <c r="G94" t="s">
        <v>55</v>
      </c>
      <c r="H94">
        <v>90</v>
      </c>
      <c r="I94">
        <v>25</v>
      </c>
      <c r="J94">
        <v>10</v>
      </c>
      <c r="K94">
        <v>8</v>
      </c>
      <c r="L94" t="s">
        <v>27</v>
      </c>
      <c r="M94">
        <v>4.4695000261236002</v>
      </c>
      <c r="N94" t="s">
        <v>61</v>
      </c>
      <c r="O94" t="s">
        <v>29</v>
      </c>
      <c r="P94">
        <v>4</v>
      </c>
      <c r="Q94">
        <v>671</v>
      </c>
      <c r="R94">
        <v>29</v>
      </c>
      <c r="S94">
        <v>62.612690395614301</v>
      </c>
      <c r="T94" t="s">
        <v>64</v>
      </c>
      <c r="U94">
        <v>0.33343182522473902</v>
      </c>
      <c r="V94" t="s">
        <v>47</v>
      </c>
      <c r="W94" t="s">
        <v>32</v>
      </c>
      <c r="X94">
        <v>230.092782536762</v>
      </c>
      <c r="Y94" t="str">
        <f t="shared" si="7"/>
        <v>Late</v>
      </c>
      <c r="Z94" t="str">
        <f t="shared" si="8"/>
        <v>OK</v>
      </c>
      <c r="AA94" t="str">
        <f t="shared" si="9"/>
        <v>Exceeds lead time</v>
      </c>
      <c r="AB94" t="str">
        <f t="shared" si="10"/>
        <v>Low</v>
      </c>
      <c r="AC94">
        <f t="shared" si="11"/>
        <v>161521.26599948306</v>
      </c>
      <c r="AD94">
        <f t="shared" si="12"/>
        <v>2.3627501450718764</v>
      </c>
      <c r="AE94">
        <f t="shared" si="13"/>
        <v>43</v>
      </c>
    </row>
    <row r="95" spans="1:31">
      <c r="A95" t="s">
        <v>24</v>
      </c>
      <c r="B95" t="s">
        <v>147</v>
      </c>
      <c r="C95" s="1">
        <v>69.290831002905406</v>
      </c>
      <c r="D95">
        <v>88</v>
      </c>
      <c r="E95">
        <v>114</v>
      </c>
      <c r="F95" s="1">
        <v>4531.4021336919004</v>
      </c>
      <c r="G95" t="s">
        <v>38</v>
      </c>
      <c r="H95">
        <v>63</v>
      </c>
      <c r="I95">
        <v>17</v>
      </c>
      <c r="J95">
        <v>66</v>
      </c>
      <c r="K95">
        <v>1</v>
      </c>
      <c r="L95" t="s">
        <v>43</v>
      </c>
      <c r="M95">
        <v>7.00643205900439</v>
      </c>
      <c r="N95" t="s">
        <v>52</v>
      </c>
      <c r="O95" t="s">
        <v>62</v>
      </c>
      <c r="P95">
        <v>21</v>
      </c>
      <c r="Q95">
        <v>824</v>
      </c>
      <c r="R95">
        <v>20</v>
      </c>
      <c r="S95">
        <v>35.633652343343797</v>
      </c>
      <c r="T95" t="s">
        <v>46</v>
      </c>
      <c r="U95">
        <v>4.1657817954241398</v>
      </c>
      <c r="V95" t="s">
        <v>40</v>
      </c>
      <c r="W95" t="s">
        <v>48</v>
      </c>
      <c r="X95">
        <v>823.52384588815505</v>
      </c>
      <c r="Y95" t="str">
        <f t="shared" si="7"/>
        <v>On Time</v>
      </c>
      <c r="Z95" t="str">
        <f t="shared" si="8"/>
        <v>OK</v>
      </c>
      <c r="AA95" t="str">
        <f t="shared" si="9"/>
        <v>Exceeds lead time</v>
      </c>
      <c r="AB95" t="str">
        <f t="shared" si="10"/>
        <v>Low</v>
      </c>
      <c r="AC95">
        <f t="shared" si="11"/>
        <v>174455.39060546222</v>
      </c>
      <c r="AD95">
        <f t="shared" si="12"/>
        <v>2.3373974005913354</v>
      </c>
      <c r="AE95">
        <f t="shared" si="13"/>
        <v>29</v>
      </c>
    </row>
    <row r="96" spans="1:31">
      <c r="A96" t="s">
        <v>57</v>
      </c>
      <c r="B96" t="s">
        <v>148</v>
      </c>
      <c r="C96" s="1">
        <v>3.0376887246314102</v>
      </c>
      <c r="D96">
        <v>97</v>
      </c>
      <c r="E96">
        <v>987</v>
      </c>
      <c r="F96" s="1">
        <v>7888.3565466618702</v>
      </c>
      <c r="G96" t="s">
        <v>38</v>
      </c>
      <c r="H96">
        <v>77</v>
      </c>
      <c r="I96">
        <v>26</v>
      </c>
      <c r="J96">
        <v>72</v>
      </c>
      <c r="K96">
        <v>9</v>
      </c>
      <c r="L96" t="s">
        <v>27</v>
      </c>
      <c r="M96">
        <v>6.9429459420325799</v>
      </c>
      <c r="N96" t="s">
        <v>61</v>
      </c>
      <c r="O96" t="s">
        <v>50</v>
      </c>
      <c r="P96">
        <v>12</v>
      </c>
      <c r="Q96">
        <v>908</v>
      </c>
      <c r="R96">
        <v>14</v>
      </c>
      <c r="S96">
        <v>60.387378614862101</v>
      </c>
      <c r="T96" t="s">
        <v>64</v>
      </c>
      <c r="U96">
        <v>1.4636074984727701</v>
      </c>
      <c r="V96" t="s">
        <v>47</v>
      </c>
      <c r="W96" t="s">
        <v>32</v>
      </c>
      <c r="X96">
        <v>846.66525698669398</v>
      </c>
      <c r="Y96" t="str">
        <f t="shared" si="7"/>
        <v>Late</v>
      </c>
      <c r="Z96" t="str">
        <f t="shared" si="8"/>
        <v>OK</v>
      </c>
      <c r="AA96" t="str">
        <f t="shared" si="9"/>
        <v>Within lead time</v>
      </c>
      <c r="AB96" t="str">
        <f t="shared" si="10"/>
        <v>Medium</v>
      </c>
      <c r="AC96">
        <f t="shared" si="11"/>
        <v>161521.26599948306</v>
      </c>
      <c r="AD96">
        <f t="shared" si="12"/>
        <v>2.3627501450718764</v>
      </c>
      <c r="AE96">
        <f t="shared" si="13"/>
        <v>43</v>
      </c>
    </row>
    <row r="97" spans="1:31">
      <c r="A97" t="s">
        <v>24</v>
      </c>
      <c r="B97" t="s">
        <v>149</v>
      </c>
      <c r="C97" s="1">
        <v>77.903927219447695</v>
      </c>
      <c r="D97">
        <v>65</v>
      </c>
      <c r="E97">
        <v>672</v>
      </c>
      <c r="F97" s="1">
        <v>7386.3639440486604</v>
      </c>
      <c r="G97" t="s">
        <v>38</v>
      </c>
      <c r="H97">
        <v>15</v>
      </c>
      <c r="I97">
        <v>14</v>
      </c>
      <c r="J97">
        <v>26</v>
      </c>
      <c r="K97">
        <v>9</v>
      </c>
      <c r="L97" t="s">
        <v>27</v>
      </c>
      <c r="M97">
        <v>8.6303388696027508</v>
      </c>
      <c r="N97" t="s">
        <v>52</v>
      </c>
      <c r="O97" t="s">
        <v>29</v>
      </c>
      <c r="P97">
        <v>18</v>
      </c>
      <c r="Q97">
        <v>450</v>
      </c>
      <c r="R97">
        <v>26</v>
      </c>
      <c r="S97">
        <v>58.890685768589897</v>
      </c>
      <c r="T97" t="s">
        <v>30</v>
      </c>
      <c r="U97">
        <v>1.21088212958506</v>
      </c>
      <c r="V97" t="s">
        <v>40</v>
      </c>
      <c r="W97" t="s">
        <v>48</v>
      </c>
      <c r="X97">
        <v>778.86424137664699</v>
      </c>
      <c r="Y97" t="str">
        <f t="shared" si="7"/>
        <v>Late</v>
      </c>
      <c r="Z97" t="str">
        <f t="shared" si="8"/>
        <v>Critical</v>
      </c>
      <c r="AA97" t="str">
        <f t="shared" si="9"/>
        <v>Exceeds lead time</v>
      </c>
      <c r="AB97" t="str">
        <f t="shared" si="10"/>
        <v>Medium</v>
      </c>
      <c r="AC97">
        <f t="shared" si="11"/>
        <v>174455.39060546222</v>
      </c>
      <c r="AD97">
        <f t="shared" si="12"/>
        <v>2.3373974005913354</v>
      </c>
      <c r="AE97">
        <f t="shared" si="13"/>
        <v>43</v>
      </c>
    </row>
    <row r="98" spans="1:31">
      <c r="A98" t="s">
        <v>57</v>
      </c>
      <c r="B98" t="s">
        <v>150</v>
      </c>
      <c r="C98" s="1">
        <v>24.423131420373299</v>
      </c>
      <c r="D98">
        <v>29</v>
      </c>
      <c r="E98">
        <v>324</v>
      </c>
      <c r="F98" s="1">
        <v>7698.4247656321104</v>
      </c>
      <c r="G98" t="s">
        <v>26</v>
      </c>
      <c r="H98">
        <v>67</v>
      </c>
      <c r="I98">
        <v>2</v>
      </c>
      <c r="J98">
        <v>32</v>
      </c>
      <c r="K98">
        <v>3</v>
      </c>
      <c r="L98" t="s">
        <v>43</v>
      </c>
      <c r="M98">
        <v>5.3528780439967996</v>
      </c>
      <c r="N98" t="s">
        <v>28</v>
      </c>
      <c r="O98" t="s">
        <v>29</v>
      </c>
      <c r="P98">
        <v>28</v>
      </c>
      <c r="Q98">
        <v>648</v>
      </c>
      <c r="R98">
        <v>28</v>
      </c>
      <c r="S98">
        <v>17.803756331391199</v>
      </c>
      <c r="T98" t="s">
        <v>30</v>
      </c>
      <c r="U98">
        <v>3.8720476814821301</v>
      </c>
      <c r="V98" t="s">
        <v>31</v>
      </c>
      <c r="W98" t="s">
        <v>48</v>
      </c>
      <c r="X98">
        <v>188.74214114905601</v>
      </c>
      <c r="Y98" t="str">
        <f t="shared" si="7"/>
        <v>On Time</v>
      </c>
      <c r="Z98" t="str">
        <f t="shared" si="8"/>
        <v>OK</v>
      </c>
      <c r="AA98" t="str">
        <f t="shared" si="9"/>
        <v>Exceeds lead time</v>
      </c>
      <c r="AB98" t="str">
        <f t="shared" si="10"/>
        <v>Medium</v>
      </c>
      <c r="AC98">
        <f t="shared" si="11"/>
        <v>161521.26599948306</v>
      </c>
      <c r="AD98">
        <f t="shared" si="12"/>
        <v>2.4657860307644657</v>
      </c>
      <c r="AE98">
        <f t="shared" si="13"/>
        <v>29</v>
      </c>
    </row>
    <row r="99" spans="1:31">
      <c r="A99" t="s">
        <v>24</v>
      </c>
      <c r="B99" t="s">
        <v>151</v>
      </c>
      <c r="C99" s="1">
        <v>3.5261112591434101</v>
      </c>
      <c r="D99">
        <v>56</v>
      </c>
      <c r="E99">
        <v>62</v>
      </c>
      <c r="F99" s="1">
        <v>4370.9165799845296</v>
      </c>
      <c r="G99" t="s">
        <v>55</v>
      </c>
      <c r="H99">
        <v>46</v>
      </c>
      <c r="I99">
        <v>19</v>
      </c>
      <c r="J99">
        <v>4</v>
      </c>
      <c r="K99">
        <v>9</v>
      </c>
      <c r="L99" t="s">
        <v>36</v>
      </c>
      <c r="M99">
        <v>7.9048456112096703</v>
      </c>
      <c r="N99" t="s">
        <v>52</v>
      </c>
      <c r="O99" t="s">
        <v>29</v>
      </c>
      <c r="P99">
        <v>10</v>
      </c>
      <c r="Q99">
        <v>535</v>
      </c>
      <c r="R99">
        <v>13</v>
      </c>
      <c r="S99">
        <v>65.765155926367399</v>
      </c>
      <c r="T99" t="s">
        <v>46</v>
      </c>
      <c r="U99">
        <v>3.3762378347179798</v>
      </c>
      <c r="V99" t="s">
        <v>31</v>
      </c>
      <c r="W99" t="s">
        <v>48</v>
      </c>
      <c r="X99">
        <v>540.13242286796697</v>
      </c>
      <c r="Y99" t="str">
        <f t="shared" si="7"/>
        <v>Late</v>
      </c>
      <c r="Z99" t="str">
        <f t="shared" si="8"/>
        <v>Low</v>
      </c>
      <c r="AA99" t="str">
        <f t="shared" si="9"/>
        <v>Within lead time</v>
      </c>
      <c r="AB99" t="str">
        <f t="shared" si="10"/>
        <v>Low</v>
      </c>
      <c r="AC99">
        <f t="shared" si="11"/>
        <v>174455.39060546222</v>
      </c>
      <c r="AD99">
        <f t="shared" si="12"/>
        <v>2.3373974005913354</v>
      </c>
      <c r="AE99">
        <f t="shared" si="13"/>
        <v>28</v>
      </c>
    </row>
    <row r="100" spans="1:31">
      <c r="A100" t="s">
        <v>33</v>
      </c>
      <c r="B100" t="s">
        <v>152</v>
      </c>
      <c r="C100" s="1">
        <v>19.754604866878601</v>
      </c>
      <c r="D100">
        <v>43</v>
      </c>
      <c r="E100">
        <v>913</v>
      </c>
      <c r="F100" s="1">
        <v>8525.9525596835192</v>
      </c>
      <c r="G100" t="s">
        <v>35</v>
      </c>
      <c r="H100">
        <v>53</v>
      </c>
      <c r="I100">
        <v>1</v>
      </c>
      <c r="J100">
        <v>27</v>
      </c>
      <c r="K100">
        <v>7</v>
      </c>
      <c r="L100" t="s">
        <v>27</v>
      </c>
      <c r="M100">
        <v>1.4098010951380699</v>
      </c>
      <c r="N100" t="s">
        <v>44</v>
      </c>
      <c r="O100" t="s">
        <v>62</v>
      </c>
      <c r="P100">
        <v>28</v>
      </c>
      <c r="Q100">
        <v>581</v>
      </c>
      <c r="R100">
        <v>9</v>
      </c>
      <c r="S100">
        <v>5.6046908643717801</v>
      </c>
      <c r="T100" t="s">
        <v>30</v>
      </c>
      <c r="U100">
        <v>2.9081221693512598</v>
      </c>
      <c r="V100" t="s">
        <v>47</v>
      </c>
      <c r="W100" t="s">
        <v>48</v>
      </c>
      <c r="X100">
        <v>882.19886354704101</v>
      </c>
      <c r="Y100" t="str">
        <f t="shared" si="7"/>
        <v>On Time</v>
      </c>
      <c r="Z100" t="str">
        <f t="shared" si="8"/>
        <v>OK</v>
      </c>
      <c r="AA100" t="str">
        <f t="shared" si="9"/>
        <v>Exceeds lead time</v>
      </c>
      <c r="AB100" t="str">
        <f t="shared" si="10"/>
        <v>High</v>
      </c>
      <c r="AC100">
        <f t="shared" si="11"/>
        <v>241628.16213306302</v>
      </c>
      <c r="AD100">
        <f t="shared" si="12"/>
        <v>2.6654083441491982</v>
      </c>
      <c r="AE100">
        <f t="shared" si="13"/>
        <v>43</v>
      </c>
    </row>
    <row r="101" spans="1:31">
      <c r="A101" t="s">
        <v>24</v>
      </c>
      <c r="B101" t="s">
        <v>153</v>
      </c>
      <c r="C101" s="1">
        <v>68.517832699276596</v>
      </c>
      <c r="D101">
        <v>17</v>
      </c>
      <c r="E101">
        <v>627</v>
      </c>
      <c r="F101" s="1">
        <v>9185.1858291817007</v>
      </c>
      <c r="G101" t="s">
        <v>38</v>
      </c>
      <c r="H101">
        <v>55</v>
      </c>
      <c r="I101">
        <v>8</v>
      </c>
      <c r="J101">
        <v>59</v>
      </c>
      <c r="K101">
        <v>6</v>
      </c>
      <c r="L101" t="s">
        <v>27</v>
      </c>
      <c r="M101">
        <v>1.3110237561206199</v>
      </c>
      <c r="N101" t="s">
        <v>61</v>
      </c>
      <c r="O101" t="s">
        <v>62</v>
      </c>
      <c r="P101">
        <v>29</v>
      </c>
      <c r="Q101">
        <v>921</v>
      </c>
      <c r="R101">
        <v>2</v>
      </c>
      <c r="S101">
        <v>38.072898520625998</v>
      </c>
      <c r="T101" t="s">
        <v>46</v>
      </c>
      <c r="U101">
        <v>0.34602729070550298</v>
      </c>
      <c r="V101" t="s">
        <v>47</v>
      </c>
      <c r="W101" t="s">
        <v>32</v>
      </c>
      <c r="X101">
        <v>210.743008964246</v>
      </c>
      <c r="Y101" t="str">
        <f t="shared" si="7"/>
        <v>On Time</v>
      </c>
      <c r="Z101" t="str">
        <f t="shared" si="8"/>
        <v>OK</v>
      </c>
      <c r="AA101" t="str">
        <f t="shared" si="9"/>
        <v>Within lead time</v>
      </c>
      <c r="AB101" t="str">
        <f t="shared" si="10"/>
        <v>High</v>
      </c>
      <c r="AC101">
        <f t="shared" si="11"/>
        <v>174455.39060546222</v>
      </c>
      <c r="AD101">
        <f t="shared" si="12"/>
        <v>2.3627501450718764</v>
      </c>
      <c r="AE101">
        <f t="shared" si="13"/>
        <v>43</v>
      </c>
    </row>
    <row r="105" spans="1:31">
      <c r="G105" s="2" t="s">
        <v>168</v>
      </c>
    </row>
    <row r="109" spans="1:31">
      <c r="A109" t="s">
        <v>169</v>
      </c>
      <c r="B109" s="1">
        <f>SUM(F2:F101)</f>
        <v>577604.81873800792</v>
      </c>
    </row>
    <row r="111" spans="1:31">
      <c r="A111" t="s">
        <v>1</v>
      </c>
      <c r="B111" t="s">
        <v>0</v>
      </c>
      <c r="C111" t="s">
        <v>170</v>
      </c>
      <c r="D111" t="s">
        <v>171</v>
      </c>
      <c r="E111" t="s">
        <v>172</v>
      </c>
    </row>
    <row r="112" spans="1:31">
      <c r="A112" t="str">
        <f>INDEX($B$2:$B$101,MATCH(LARGE($F$2:$F$101,ROW()-111),$F$2:$F$101,0))</f>
        <v>SKU51</v>
      </c>
      <c r="B112" t="str">
        <f>INDEX($A$2:$A$101,MATCH(LARGE($F$2:$F$101,ROW()-111),$F$2:$F$101,0))</f>
        <v>haircare</v>
      </c>
      <c r="C112">
        <f>LARGE($F$2:$F$101,ROW()-111)</f>
        <v>9866.4654579796897</v>
      </c>
      <c r="D112" s="1">
        <f>C112/$B$109</f>
        <v>1.7081688271812976E-2</v>
      </c>
      <c r="E112" t="str">
        <f>IF(D112&lt;=0.7,"A",IF(D112&lt;=0.9,"B","C"))</f>
        <v>A</v>
      </c>
    </row>
    <row r="113" spans="1:5">
      <c r="A113" t="str">
        <f t="shared" ref="A113:A176" si="14">INDEX($B$2:$B$101,MATCH(LARGE($F$2:$F$101,ROW()-111),$F$2:$F$101,0))</f>
        <v>SKU38</v>
      </c>
      <c r="B113" t="str">
        <f t="shared" ref="B113:B176" si="15">INDEX($A$2:$A$101,MATCH(LARGE($F$2:$F$101,ROW()-111),$F$2:$F$101,0))</f>
        <v>cosmetics</v>
      </c>
      <c r="C113">
        <f t="shared" ref="C113:C176" si="16">LARGE($F$2:$F$101,ROW()-111)</f>
        <v>9692.3180402184298</v>
      </c>
      <c r="D113" s="1">
        <f>D112+C113/$B$109</f>
        <v>3.3861877296888797E-2</v>
      </c>
      <c r="E113" t="str">
        <f t="shared" ref="E113:E176" si="17">IF(D113&lt;=0.7,"A",IF(D113&lt;=0.9,"B","C"))</f>
        <v>A</v>
      </c>
    </row>
    <row r="114" spans="1:5">
      <c r="A114" t="str">
        <f t="shared" si="14"/>
        <v>SKU31</v>
      </c>
      <c r="B114" t="str">
        <f t="shared" si="15"/>
        <v>skincare</v>
      </c>
      <c r="C114">
        <f t="shared" si="16"/>
        <v>9655.1351027193905</v>
      </c>
      <c r="D114" s="1">
        <f t="shared" ref="D114:D177" si="18">D113+C114/$B$109</f>
        <v>5.0577691967227972E-2</v>
      </c>
      <c r="E114" t="str">
        <f t="shared" si="17"/>
        <v>A</v>
      </c>
    </row>
    <row r="115" spans="1:5">
      <c r="A115" t="str">
        <f t="shared" si="14"/>
        <v>SKU90</v>
      </c>
      <c r="B115" t="str">
        <f t="shared" si="15"/>
        <v>skincare</v>
      </c>
      <c r="C115">
        <f t="shared" si="16"/>
        <v>9592.6335702803099</v>
      </c>
      <c r="D115" s="1">
        <f t="shared" si="18"/>
        <v>6.7185298516008116E-2</v>
      </c>
      <c r="E115" t="str">
        <f t="shared" si="17"/>
        <v>A</v>
      </c>
    </row>
    <row r="116" spans="1:5">
      <c r="A116" t="str">
        <f t="shared" si="14"/>
        <v>SKU2</v>
      </c>
      <c r="B116" t="str">
        <f t="shared" si="15"/>
        <v>haircare</v>
      </c>
      <c r="C116">
        <f t="shared" si="16"/>
        <v>9577.7496258687297</v>
      </c>
      <c r="D116" s="1">
        <f t="shared" si="18"/>
        <v>8.3767136677945331E-2</v>
      </c>
      <c r="E116" t="str">
        <f t="shared" si="17"/>
        <v>A</v>
      </c>
    </row>
    <row r="117" spans="1:5">
      <c r="A117" t="str">
        <f t="shared" si="14"/>
        <v>SKU32</v>
      </c>
      <c r="B117" t="str">
        <f t="shared" si="15"/>
        <v>skincare</v>
      </c>
      <c r="C117">
        <f t="shared" si="16"/>
        <v>9571.5504873278096</v>
      </c>
      <c r="D117" s="1">
        <f t="shared" si="18"/>
        <v>0.10033824234884402</v>
      </c>
      <c r="E117" t="str">
        <f t="shared" si="17"/>
        <v>A</v>
      </c>
    </row>
    <row r="118" spans="1:5">
      <c r="A118" t="str">
        <f t="shared" si="14"/>
        <v>SKU67</v>
      </c>
      <c r="B118" t="str">
        <f t="shared" si="15"/>
        <v>skincare</v>
      </c>
      <c r="C118">
        <f t="shared" si="16"/>
        <v>9473.7980325083299</v>
      </c>
      <c r="D118" s="1">
        <f t="shared" si="18"/>
        <v>0.11674011041706298</v>
      </c>
      <c r="E118" t="str">
        <f t="shared" si="17"/>
        <v>A</v>
      </c>
    </row>
    <row r="119" spans="1:5">
      <c r="A119" t="str">
        <f t="shared" si="14"/>
        <v>SKU88</v>
      </c>
      <c r="B119" t="str">
        <f t="shared" si="15"/>
        <v>cosmetics</v>
      </c>
      <c r="C119">
        <f t="shared" si="16"/>
        <v>9444.7420330629793</v>
      </c>
      <c r="D119" s="1">
        <f t="shared" si="18"/>
        <v>0.13309167419677403</v>
      </c>
      <c r="E119" t="str">
        <f t="shared" si="17"/>
        <v>A</v>
      </c>
    </row>
    <row r="120" spans="1:5">
      <c r="A120" t="str">
        <f t="shared" si="14"/>
        <v>SKU52</v>
      </c>
      <c r="B120" t="str">
        <f t="shared" si="15"/>
        <v>skincare</v>
      </c>
      <c r="C120">
        <f t="shared" si="16"/>
        <v>9435.7626089121295</v>
      </c>
      <c r="D120" s="1">
        <f t="shared" si="18"/>
        <v>0.14942769201173628</v>
      </c>
      <c r="E120" t="str">
        <f t="shared" si="17"/>
        <v>A</v>
      </c>
    </row>
    <row r="121" spans="1:5">
      <c r="A121" t="str">
        <f t="shared" si="14"/>
        <v>SKU18</v>
      </c>
      <c r="B121" t="str">
        <f t="shared" si="15"/>
        <v>haircare</v>
      </c>
      <c r="C121">
        <f t="shared" si="16"/>
        <v>9364.6735050761708</v>
      </c>
      <c r="D121" s="1">
        <f t="shared" si="18"/>
        <v>0.16564063415016367</v>
      </c>
      <c r="E121" t="str">
        <f t="shared" si="17"/>
        <v>A</v>
      </c>
    </row>
    <row r="122" spans="1:5">
      <c r="A122" t="str">
        <f t="shared" si="14"/>
        <v>SKU99</v>
      </c>
      <c r="B122" t="str">
        <f t="shared" si="15"/>
        <v>haircare</v>
      </c>
      <c r="C122">
        <f t="shared" si="16"/>
        <v>9185.1858291817007</v>
      </c>
      <c r="D122" s="1">
        <f t="shared" si="18"/>
        <v>0.18154283151972533</v>
      </c>
      <c r="E122" t="str">
        <f t="shared" si="17"/>
        <v>A</v>
      </c>
    </row>
    <row r="123" spans="1:5">
      <c r="A123" t="str">
        <f t="shared" si="14"/>
        <v>SKU34</v>
      </c>
      <c r="B123" t="str">
        <f t="shared" si="15"/>
        <v>skincare</v>
      </c>
      <c r="C123">
        <f t="shared" si="16"/>
        <v>9061.7108955077201</v>
      </c>
      <c r="D123" s="1">
        <f t="shared" si="18"/>
        <v>0.19723125828061419</v>
      </c>
      <c r="E123" t="str">
        <f t="shared" si="17"/>
        <v>A</v>
      </c>
    </row>
    <row r="124" spans="1:5">
      <c r="A124" t="str">
        <f t="shared" si="14"/>
        <v>SKU24</v>
      </c>
      <c r="B124" t="str">
        <f t="shared" si="15"/>
        <v>haircare</v>
      </c>
      <c r="C124">
        <f t="shared" si="16"/>
        <v>9049.0778609398894</v>
      </c>
      <c r="D124" s="1">
        <f t="shared" si="18"/>
        <v>0.21289781362672602</v>
      </c>
      <c r="E124" t="str">
        <f t="shared" si="17"/>
        <v>A</v>
      </c>
    </row>
    <row r="125" spans="1:5">
      <c r="A125" t="str">
        <f t="shared" si="14"/>
        <v>SKU60</v>
      </c>
      <c r="B125" t="str">
        <f t="shared" si="15"/>
        <v>skincare</v>
      </c>
      <c r="C125">
        <f t="shared" si="16"/>
        <v>8864.0843495864301</v>
      </c>
      <c r="D125" s="1">
        <f t="shared" si="18"/>
        <v>0.2282440920198899</v>
      </c>
      <c r="E125" t="str">
        <f t="shared" si="17"/>
        <v>A</v>
      </c>
    </row>
    <row r="126" spans="1:5">
      <c r="A126" t="str">
        <f t="shared" si="14"/>
        <v>SKU23</v>
      </c>
      <c r="B126" t="str">
        <f t="shared" si="15"/>
        <v>cosmetics</v>
      </c>
      <c r="C126">
        <f t="shared" si="16"/>
        <v>8858.3675710114803</v>
      </c>
      <c r="D126" s="1">
        <f t="shared" si="18"/>
        <v>0.24358047302579264</v>
      </c>
      <c r="E126" t="str">
        <f t="shared" si="17"/>
        <v>A</v>
      </c>
    </row>
    <row r="127" spans="1:5">
      <c r="A127" t="str">
        <f t="shared" si="14"/>
        <v>SKU85</v>
      </c>
      <c r="B127" t="str">
        <f t="shared" si="15"/>
        <v>cosmetics</v>
      </c>
      <c r="C127">
        <f t="shared" si="16"/>
        <v>8684.6130592538502</v>
      </c>
      <c r="D127" s="1">
        <f t="shared" si="18"/>
        <v>0.25861603501820918</v>
      </c>
      <c r="E127" t="str">
        <f t="shared" si="17"/>
        <v>A</v>
      </c>
    </row>
    <row r="128" spans="1:5">
      <c r="A128" t="str">
        <f t="shared" si="14"/>
        <v>SKU0</v>
      </c>
      <c r="B128" t="str">
        <f t="shared" si="15"/>
        <v>haircare</v>
      </c>
      <c r="C128">
        <f t="shared" si="16"/>
        <v>8661.9967923923796</v>
      </c>
      <c r="D128" s="1">
        <f t="shared" si="18"/>
        <v>0.27361244175061444</v>
      </c>
      <c r="E128" t="str">
        <f t="shared" si="17"/>
        <v>A</v>
      </c>
    </row>
    <row r="129" spans="1:5">
      <c r="A129" t="str">
        <f t="shared" si="14"/>
        <v>SKU14</v>
      </c>
      <c r="B129" t="str">
        <f t="shared" si="15"/>
        <v>skincare</v>
      </c>
      <c r="C129">
        <f t="shared" si="16"/>
        <v>8653.5709264697998</v>
      </c>
      <c r="D129" s="1">
        <f t="shared" si="18"/>
        <v>0.28859426088670947</v>
      </c>
      <c r="E129" t="str">
        <f t="shared" si="17"/>
        <v>A</v>
      </c>
    </row>
    <row r="130" spans="1:5">
      <c r="A130" t="str">
        <f t="shared" si="14"/>
        <v>SKU80</v>
      </c>
      <c r="B130" t="str">
        <f t="shared" si="15"/>
        <v>skincare</v>
      </c>
      <c r="C130">
        <f t="shared" si="16"/>
        <v>8651.67268298206</v>
      </c>
      <c r="D130" s="1">
        <f t="shared" si="18"/>
        <v>0.30357279361759087</v>
      </c>
      <c r="E130" t="str">
        <f t="shared" si="17"/>
        <v>A</v>
      </c>
    </row>
    <row r="131" spans="1:5">
      <c r="A131" t="str">
        <f t="shared" si="14"/>
        <v>SKU98</v>
      </c>
      <c r="B131" t="str">
        <f t="shared" si="15"/>
        <v>skincare</v>
      </c>
      <c r="C131">
        <f t="shared" si="16"/>
        <v>8525.9525596835192</v>
      </c>
      <c r="D131" s="1">
        <f t="shared" si="18"/>
        <v>0.31833366867107749</v>
      </c>
      <c r="E131" t="str">
        <f t="shared" si="17"/>
        <v>A</v>
      </c>
    </row>
    <row r="132" spans="1:5">
      <c r="A132" t="str">
        <f t="shared" si="14"/>
        <v>SKU7</v>
      </c>
      <c r="B132" t="str">
        <f t="shared" si="15"/>
        <v>cosmetics</v>
      </c>
      <c r="C132">
        <f t="shared" si="16"/>
        <v>8496.1038130898305</v>
      </c>
      <c r="D132" s="1">
        <f t="shared" si="18"/>
        <v>0.3330428669628312</v>
      </c>
      <c r="E132" t="str">
        <f t="shared" si="17"/>
        <v>A</v>
      </c>
    </row>
    <row r="133" spans="1:5">
      <c r="A133" t="str">
        <f t="shared" si="14"/>
        <v>SKU64</v>
      </c>
      <c r="B133" t="str">
        <f t="shared" si="15"/>
        <v>skincare</v>
      </c>
      <c r="C133">
        <f t="shared" si="16"/>
        <v>8458.7308783671706</v>
      </c>
      <c r="D133" s="1">
        <f t="shared" si="18"/>
        <v>0.34768736196003086</v>
      </c>
      <c r="E133" t="str">
        <f t="shared" si="17"/>
        <v>A</v>
      </c>
    </row>
    <row r="134" spans="1:5">
      <c r="A134" t="str">
        <f t="shared" si="14"/>
        <v>SKU66</v>
      </c>
      <c r="B134" t="str">
        <f t="shared" si="15"/>
        <v>skincare</v>
      </c>
      <c r="C134">
        <f t="shared" si="16"/>
        <v>8367.7216180201503</v>
      </c>
      <c r="D134" s="1">
        <f t="shared" si="18"/>
        <v>0.36217429376282045</v>
      </c>
      <c r="E134" t="str">
        <f t="shared" si="17"/>
        <v>A</v>
      </c>
    </row>
    <row r="135" spans="1:5">
      <c r="A135" t="str">
        <f t="shared" si="14"/>
        <v>SKU65</v>
      </c>
      <c r="B135" t="str">
        <f t="shared" si="15"/>
        <v>skincare</v>
      </c>
      <c r="C135">
        <f t="shared" si="16"/>
        <v>8354.5796864819895</v>
      </c>
      <c r="D135" s="1">
        <f t="shared" si="18"/>
        <v>0.37663847310387177</v>
      </c>
      <c r="E135" t="str">
        <f t="shared" si="17"/>
        <v>A</v>
      </c>
    </row>
    <row r="136" spans="1:5">
      <c r="A136" t="str">
        <f t="shared" si="14"/>
        <v>SKU29</v>
      </c>
      <c r="B136" t="str">
        <f t="shared" si="15"/>
        <v>cosmetics</v>
      </c>
      <c r="C136">
        <f t="shared" si="16"/>
        <v>8318.9031946171708</v>
      </c>
      <c r="D136" s="1">
        <f t="shared" si="18"/>
        <v>0.39104088618067556</v>
      </c>
      <c r="E136" t="str">
        <f t="shared" si="17"/>
        <v>A</v>
      </c>
    </row>
    <row r="137" spans="1:5">
      <c r="A137" t="str">
        <f t="shared" si="14"/>
        <v>SKU53</v>
      </c>
      <c r="B137" t="str">
        <f t="shared" si="15"/>
        <v>skincare</v>
      </c>
      <c r="C137">
        <f t="shared" si="16"/>
        <v>8232.3348294258194</v>
      </c>
      <c r="D137" s="1">
        <f t="shared" si="18"/>
        <v>0.40529342452932093</v>
      </c>
      <c r="E137" t="str">
        <f t="shared" si="17"/>
        <v>A</v>
      </c>
    </row>
    <row r="138" spans="1:5">
      <c r="A138" t="str">
        <f t="shared" si="14"/>
        <v>SKU71</v>
      </c>
      <c r="B138" t="str">
        <f t="shared" si="15"/>
        <v>cosmetics</v>
      </c>
      <c r="C138">
        <f t="shared" si="16"/>
        <v>8180.3370854254399</v>
      </c>
      <c r="D138" s="1">
        <f t="shared" si="18"/>
        <v>0.41945593983398621</v>
      </c>
      <c r="E138" t="str">
        <f t="shared" si="17"/>
        <v>A</v>
      </c>
    </row>
    <row r="139" spans="1:5">
      <c r="A139" t="str">
        <f t="shared" si="14"/>
        <v>SKU20</v>
      </c>
      <c r="B139" t="str">
        <f t="shared" si="15"/>
        <v>skincare</v>
      </c>
      <c r="C139">
        <f t="shared" si="16"/>
        <v>8128.0276968511898</v>
      </c>
      <c r="D139" s="1">
        <f t="shared" si="18"/>
        <v>0.43352789254831758</v>
      </c>
      <c r="E139" t="str">
        <f t="shared" si="17"/>
        <v>A</v>
      </c>
    </row>
    <row r="140" spans="1:5">
      <c r="A140" t="str">
        <f t="shared" si="14"/>
        <v>SKU49</v>
      </c>
      <c r="B140" t="str">
        <f t="shared" si="15"/>
        <v>cosmetics</v>
      </c>
      <c r="C140">
        <f t="shared" si="16"/>
        <v>8001.6132065190004</v>
      </c>
      <c r="D140" s="1">
        <f t="shared" si="18"/>
        <v>0.44738098543629157</v>
      </c>
      <c r="E140" t="str">
        <f t="shared" si="17"/>
        <v>A</v>
      </c>
    </row>
    <row r="141" spans="1:5">
      <c r="A141" t="str">
        <f t="shared" si="14"/>
        <v>SKU73</v>
      </c>
      <c r="B141" t="str">
        <f t="shared" si="15"/>
        <v>cosmetics</v>
      </c>
      <c r="C141">
        <f t="shared" si="16"/>
        <v>7910.8869161406801</v>
      </c>
      <c r="D141" s="1">
        <f t="shared" si="18"/>
        <v>0.46107700503222387</v>
      </c>
      <c r="E141" t="str">
        <f t="shared" si="17"/>
        <v>A</v>
      </c>
    </row>
    <row r="142" spans="1:5">
      <c r="A142" t="str">
        <f t="shared" si="14"/>
        <v>SKU79</v>
      </c>
      <c r="B142" t="str">
        <f t="shared" si="15"/>
        <v>haircare</v>
      </c>
      <c r="C142">
        <f t="shared" si="16"/>
        <v>7888.7232684270803</v>
      </c>
      <c r="D142" s="1">
        <f t="shared" si="18"/>
        <v>0.47473465298201578</v>
      </c>
      <c r="E142" t="str">
        <f t="shared" si="17"/>
        <v>A</v>
      </c>
    </row>
    <row r="143" spans="1:5">
      <c r="A143" t="str">
        <f t="shared" si="14"/>
        <v>SKU94</v>
      </c>
      <c r="B143" t="str">
        <f t="shared" si="15"/>
        <v>cosmetics</v>
      </c>
      <c r="C143">
        <f t="shared" si="16"/>
        <v>7888.3565466618702</v>
      </c>
      <c r="D143" s="1">
        <f t="shared" si="18"/>
        <v>0.48839166603100126</v>
      </c>
      <c r="E143" t="str">
        <f t="shared" si="17"/>
        <v>A</v>
      </c>
    </row>
    <row r="144" spans="1:5">
      <c r="A144" t="str">
        <f t="shared" si="14"/>
        <v>SKU6</v>
      </c>
      <c r="B144" t="str">
        <f t="shared" si="15"/>
        <v>skincare</v>
      </c>
      <c r="C144">
        <f t="shared" si="16"/>
        <v>7823.4765595317303</v>
      </c>
      <c r="D144" s="1">
        <f t="shared" si="18"/>
        <v>0.50193635316956253</v>
      </c>
      <c r="E144" t="str">
        <f t="shared" si="17"/>
        <v>A</v>
      </c>
    </row>
    <row r="145" spans="1:5">
      <c r="A145" t="str">
        <f t="shared" si="14"/>
        <v>SKU3</v>
      </c>
      <c r="B145" t="str">
        <f t="shared" si="15"/>
        <v>skincare</v>
      </c>
      <c r="C145">
        <f t="shared" si="16"/>
        <v>7766.8364256852301</v>
      </c>
      <c r="D145" s="1">
        <f t="shared" si="18"/>
        <v>0.51538297995265403</v>
      </c>
      <c r="E145" t="str">
        <f t="shared" si="17"/>
        <v>A</v>
      </c>
    </row>
    <row r="146" spans="1:5">
      <c r="A146" t="str">
        <f t="shared" si="14"/>
        <v>SKU96</v>
      </c>
      <c r="B146" t="str">
        <f t="shared" si="15"/>
        <v>cosmetics</v>
      </c>
      <c r="C146">
        <f t="shared" si="16"/>
        <v>7698.4247656321104</v>
      </c>
      <c r="D146" s="1">
        <f t="shared" si="18"/>
        <v>0.52871116648415173</v>
      </c>
      <c r="E146" t="str">
        <f t="shared" si="17"/>
        <v>A</v>
      </c>
    </row>
    <row r="147" spans="1:5">
      <c r="A147" t="str">
        <f t="shared" si="14"/>
        <v>SKU36</v>
      </c>
      <c r="B147" t="str">
        <f t="shared" si="15"/>
        <v>skincare</v>
      </c>
      <c r="C147">
        <f t="shared" si="16"/>
        <v>7573.4024578487297</v>
      </c>
      <c r="D147" s="1">
        <f t="shared" si="18"/>
        <v>0.54182290345753026</v>
      </c>
      <c r="E147" t="str">
        <f t="shared" si="17"/>
        <v>A</v>
      </c>
    </row>
    <row r="148" spans="1:5">
      <c r="A148" t="str">
        <f t="shared" si="14"/>
        <v>SKU8</v>
      </c>
      <c r="B148" t="str">
        <f t="shared" si="15"/>
        <v>cosmetics</v>
      </c>
      <c r="C148">
        <f t="shared" si="16"/>
        <v>7517.3632106311197</v>
      </c>
      <c r="D148" s="1">
        <f t="shared" si="18"/>
        <v>0.55483762038294582</v>
      </c>
      <c r="E148" t="str">
        <f t="shared" si="17"/>
        <v>A</v>
      </c>
    </row>
    <row r="149" spans="1:5">
      <c r="A149" t="str">
        <f t="shared" si="14"/>
        <v>SKU1</v>
      </c>
      <c r="B149" t="str">
        <f t="shared" si="15"/>
        <v>skincare</v>
      </c>
      <c r="C149">
        <f t="shared" si="16"/>
        <v>7460.9000654458396</v>
      </c>
      <c r="D149" s="1">
        <f t="shared" si="18"/>
        <v>0.56775458337114759</v>
      </c>
      <c r="E149" t="str">
        <f t="shared" si="17"/>
        <v>A</v>
      </c>
    </row>
    <row r="150" spans="1:5">
      <c r="A150" t="str">
        <f t="shared" si="14"/>
        <v>SKU48</v>
      </c>
      <c r="B150" t="str">
        <f t="shared" si="15"/>
        <v>haircare</v>
      </c>
      <c r="C150">
        <f t="shared" si="16"/>
        <v>7397.0710045871801</v>
      </c>
      <c r="D150" s="1">
        <f t="shared" si="18"/>
        <v>0.58056103990443764</v>
      </c>
      <c r="E150" t="str">
        <f t="shared" si="17"/>
        <v>A</v>
      </c>
    </row>
    <row r="151" spans="1:5">
      <c r="A151" t="str">
        <f t="shared" si="14"/>
        <v>SKU95</v>
      </c>
      <c r="B151" t="str">
        <f t="shared" si="15"/>
        <v>haircare</v>
      </c>
      <c r="C151">
        <f t="shared" si="16"/>
        <v>7386.3639440486604</v>
      </c>
      <c r="D151" s="1">
        <f t="shared" si="18"/>
        <v>0.59334895943770416</v>
      </c>
      <c r="E151" t="str">
        <f t="shared" si="17"/>
        <v>A</v>
      </c>
    </row>
    <row r="152" spans="1:5">
      <c r="A152" t="str">
        <f t="shared" si="14"/>
        <v>SKU44</v>
      </c>
      <c r="B152" t="str">
        <f t="shared" si="15"/>
        <v>cosmetics</v>
      </c>
      <c r="C152">
        <f t="shared" si="16"/>
        <v>7152.28604943551</v>
      </c>
      <c r="D152" s="1">
        <f t="shared" si="18"/>
        <v>0.60573162283906279</v>
      </c>
      <c r="E152" t="str">
        <f t="shared" si="17"/>
        <v>A</v>
      </c>
    </row>
    <row r="153" spans="1:5">
      <c r="A153" t="str">
        <f t="shared" si="14"/>
        <v>SKU47</v>
      </c>
      <c r="B153" t="str">
        <f t="shared" si="15"/>
        <v>skincare</v>
      </c>
      <c r="C153">
        <f t="shared" si="16"/>
        <v>7089.4742499341801</v>
      </c>
      <c r="D153" s="1">
        <f t="shared" si="18"/>
        <v>0.61800554095737725</v>
      </c>
      <c r="E153" t="str">
        <f t="shared" si="17"/>
        <v>A</v>
      </c>
    </row>
    <row r="154" spans="1:5">
      <c r="A154" t="str">
        <f t="shared" si="14"/>
        <v>SKU21</v>
      </c>
      <c r="B154" t="str">
        <f t="shared" si="15"/>
        <v>cosmetics</v>
      </c>
      <c r="C154">
        <f t="shared" si="16"/>
        <v>7087.0526963574302</v>
      </c>
      <c r="D154" s="1">
        <f t="shared" si="18"/>
        <v>0.63027526667026468</v>
      </c>
      <c r="E154" t="str">
        <f t="shared" si="17"/>
        <v>A</v>
      </c>
    </row>
    <row r="155" spans="1:5">
      <c r="A155" t="str">
        <f t="shared" si="14"/>
        <v>SKU70</v>
      </c>
      <c r="B155" t="str">
        <f t="shared" si="15"/>
        <v>haircare</v>
      </c>
      <c r="C155">
        <f t="shared" si="16"/>
        <v>7014.8879872033804</v>
      </c>
      <c r="D155" s="1">
        <f t="shared" si="18"/>
        <v>0.64242005452458006</v>
      </c>
      <c r="E155" t="str">
        <f t="shared" si="17"/>
        <v>A</v>
      </c>
    </row>
    <row r="156" spans="1:5">
      <c r="A156" t="str">
        <f t="shared" si="14"/>
        <v>SKU61</v>
      </c>
      <c r="B156" t="str">
        <f t="shared" si="15"/>
        <v>haircare</v>
      </c>
      <c r="C156">
        <f t="shared" si="16"/>
        <v>6885.5893508962499</v>
      </c>
      <c r="D156" s="1">
        <f t="shared" si="18"/>
        <v>0.6543409892666765</v>
      </c>
      <c r="E156" t="str">
        <f t="shared" si="17"/>
        <v>A</v>
      </c>
    </row>
    <row r="157" spans="1:5">
      <c r="A157" t="str">
        <f t="shared" si="14"/>
        <v>SKU35</v>
      </c>
      <c r="B157" t="str">
        <f t="shared" si="15"/>
        <v>cosmetics</v>
      </c>
      <c r="C157">
        <f t="shared" si="16"/>
        <v>6541.3293448024597</v>
      </c>
      <c r="D157" s="1">
        <f t="shared" si="18"/>
        <v>0.66566591096503491</v>
      </c>
      <c r="E157" t="str">
        <f t="shared" si="17"/>
        <v>A</v>
      </c>
    </row>
    <row r="158" spans="1:5">
      <c r="A158" t="str">
        <f t="shared" si="14"/>
        <v>SKU16</v>
      </c>
      <c r="B158" t="str">
        <f t="shared" si="15"/>
        <v>skincare</v>
      </c>
      <c r="C158">
        <f t="shared" si="16"/>
        <v>6453.7979681762799</v>
      </c>
      <c r="D158" s="1">
        <f t="shared" si="18"/>
        <v>0.6768392906855798</v>
      </c>
      <c r="E158" t="str">
        <f t="shared" si="17"/>
        <v>A</v>
      </c>
    </row>
    <row r="159" spans="1:5">
      <c r="A159" t="str">
        <f t="shared" si="14"/>
        <v>SKU28</v>
      </c>
      <c r="B159" t="str">
        <f t="shared" si="15"/>
        <v>cosmetics</v>
      </c>
      <c r="C159">
        <f t="shared" si="16"/>
        <v>6117.3246150839896</v>
      </c>
      <c r="D159" s="1">
        <f t="shared" si="18"/>
        <v>0.68743013829735966</v>
      </c>
      <c r="E159" t="str">
        <f t="shared" si="17"/>
        <v>A</v>
      </c>
    </row>
    <row r="160" spans="1:5">
      <c r="A160" t="str">
        <f t="shared" si="14"/>
        <v>SKU11</v>
      </c>
      <c r="B160" t="str">
        <f t="shared" si="15"/>
        <v>skincare</v>
      </c>
      <c r="C160">
        <f t="shared" si="16"/>
        <v>6099.9441155814502</v>
      </c>
      <c r="D160" s="1">
        <f t="shared" si="18"/>
        <v>0.69799089526768587</v>
      </c>
      <c r="E160" t="str">
        <f t="shared" si="17"/>
        <v>A</v>
      </c>
    </row>
    <row r="161" spans="1:5">
      <c r="A161" t="str">
        <f t="shared" si="14"/>
        <v>SKU54</v>
      </c>
      <c r="B161" t="str">
        <f t="shared" si="15"/>
        <v>haircare</v>
      </c>
      <c r="C161">
        <f t="shared" si="16"/>
        <v>6088.0214799408504</v>
      </c>
      <c r="D161" s="1">
        <f t="shared" si="18"/>
        <v>0.70853101072801461</v>
      </c>
      <c r="E161" t="str">
        <f t="shared" si="17"/>
        <v>B</v>
      </c>
    </row>
    <row r="162" spans="1:5">
      <c r="A162" t="str">
        <f t="shared" si="14"/>
        <v>SKU89</v>
      </c>
      <c r="B162" t="str">
        <f t="shared" si="15"/>
        <v>cosmetics</v>
      </c>
      <c r="C162">
        <f t="shared" si="16"/>
        <v>5924.6825668532301</v>
      </c>
      <c r="D162" s="1">
        <f t="shared" si="18"/>
        <v>0.71878833957059229</v>
      </c>
      <c r="E162" t="str">
        <f t="shared" si="17"/>
        <v>B</v>
      </c>
    </row>
    <row r="163" spans="1:5">
      <c r="A163" t="str">
        <f t="shared" si="14"/>
        <v>SKU50</v>
      </c>
      <c r="B163" t="str">
        <f t="shared" si="15"/>
        <v>cosmetics</v>
      </c>
      <c r="C163">
        <f t="shared" si="16"/>
        <v>5910.8853896688897</v>
      </c>
      <c r="D163" s="1">
        <f t="shared" si="18"/>
        <v>0.72902178153283803</v>
      </c>
      <c r="E163" t="str">
        <f t="shared" si="17"/>
        <v>B</v>
      </c>
    </row>
    <row r="164" spans="1:5">
      <c r="A164" t="str">
        <f t="shared" si="14"/>
        <v>SKU43</v>
      </c>
      <c r="B164" t="str">
        <f t="shared" si="15"/>
        <v>haircare</v>
      </c>
      <c r="C164">
        <f t="shared" si="16"/>
        <v>5737.4255991190203</v>
      </c>
      <c r="D164" s="1">
        <f t="shared" si="18"/>
        <v>0.73895491472873931</v>
      </c>
      <c r="E164" t="str">
        <f t="shared" si="17"/>
        <v>B</v>
      </c>
    </row>
    <row r="165" spans="1:5">
      <c r="A165" t="str">
        <f t="shared" si="14"/>
        <v>SKU40</v>
      </c>
      <c r="B165" t="str">
        <f t="shared" si="15"/>
        <v>skincare</v>
      </c>
      <c r="C165">
        <f t="shared" si="16"/>
        <v>5724.9593504562599</v>
      </c>
      <c r="D165" s="1">
        <f t="shared" si="18"/>
        <v>0.74886646526421541</v>
      </c>
      <c r="E165" t="str">
        <f t="shared" si="17"/>
        <v>B</v>
      </c>
    </row>
    <row r="166" spans="1:5">
      <c r="A166" t="str">
        <f t="shared" si="14"/>
        <v>SKU74</v>
      </c>
      <c r="B166" t="str">
        <f t="shared" si="15"/>
        <v>haircare</v>
      </c>
      <c r="C166">
        <f t="shared" si="16"/>
        <v>5709.9452959692799</v>
      </c>
      <c r="D166" s="1">
        <f t="shared" si="18"/>
        <v>0.75875202215490201</v>
      </c>
      <c r="E166" t="str">
        <f t="shared" si="17"/>
        <v>B</v>
      </c>
    </row>
    <row r="167" spans="1:5">
      <c r="A167" t="str">
        <f t="shared" si="14"/>
        <v>SKU41</v>
      </c>
      <c r="B167" t="str">
        <f t="shared" si="15"/>
        <v>skincare</v>
      </c>
      <c r="C167">
        <f t="shared" si="16"/>
        <v>5521.2052590109697</v>
      </c>
      <c r="D167" s="1">
        <f t="shared" si="18"/>
        <v>0.7683108157797095</v>
      </c>
      <c r="E167" t="str">
        <f t="shared" si="17"/>
        <v>B</v>
      </c>
    </row>
    <row r="168" spans="1:5">
      <c r="A168" t="str">
        <f t="shared" si="14"/>
        <v>SKU15</v>
      </c>
      <c r="B168" t="str">
        <f t="shared" si="15"/>
        <v>skincare</v>
      </c>
      <c r="C168">
        <f t="shared" si="16"/>
        <v>5442.0867853976697</v>
      </c>
      <c r="D168" s="1">
        <f t="shared" si="18"/>
        <v>0.77773263258049019</v>
      </c>
      <c r="E168" t="str">
        <f t="shared" si="17"/>
        <v>B</v>
      </c>
    </row>
    <row r="169" spans="1:5">
      <c r="A169" t="str">
        <f t="shared" si="14"/>
        <v>SKU76</v>
      </c>
      <c r="B169" t="str">
        <f t="shared" si="15"/>
        <v>haircare</v>
      </c>
      <c r="C169">
        <f t="shared" si="16"/>
        <v>5328.3759842977497</v>
      </c>
      <c r="D169" s="1">
        <f t="shared" si="18"/>
        <v>0.78695758329322762</v>
      </c>
      <c r="E169" t="str">
        <f t="shared" si="17"/>
        <v>B</v>
      </c>
    </row>
    <row r="170" spans="1:5">
      <c r="A170" t="str">
        <f t="shared" si="14"/>
        <v>SKU45</v>
      </c>
      <c r="B170" t="str">
        <f t="shared" si="15"/>
        <v>haircare</v>
      </c>
      <c r="C170">
        <f t="shared" si="16"/>
        <v>5267.9568075105199</v>
      </c>
      <c r="D170" s="1">
        <f t="shared" si="18"/>
        <v>0.79607793104070712</v>
      </c>
      <c r="E170" t="str">
        <f t="shared" si="17"/>
        <v>B</v>
      </c>
    </row>
    <row r="171" spans="1:5">
      <c r="A171" t="str">
        <f t="shared" si="14"/>
        <v>SKU33</v>
      </c>
      <c r="B171" t="str">
        <f t="shared" si="15"/>
        <v>cosmetics</v>
      </c>
      <c r="C171">
        <f t="shared" si="16"/>
        <v>5149.9983504080301</v>
      </c>
      <c r="D171" s="1">
        <f t="shared" si="18"/>
        <v>0.80499405878642105</v>
      </c>
      <c r="E171" t="str">
        <f t="shared" si="17"/>
        <v>B</v>
      </c>
    </row>
    <row r="172" spans="1:5">
      <c r="A172" t="str">
        <f t="shared" si="14"/>
        <v>SKU87</v>
      </c>
      <c r="B172" t="str">
        <f t="shared" si="15"/>
        <v>haircare</v>
      </c>
      <c r="C172">
        <f t="shared" si="16"/>
        <v>5133.8467010866898</v>
      </c>
      <c r="D172" s="1">
        <f t="shared" si="18"/>
        <v>0.81388222338363392</v>
      </c>
      <c r="E172" t="str">
        <f t="shared" si="17"/>
        <v>B</v>
      </c>
    </row>
    <row r="173" spans="1:5">
      <c r="A173" t="str">
        <f t="shared" si="14"/>
        <v>SKU9</v>
      </c>
      <c r="B173" t="str">
        <f t="shared" si="15"/>
        <v>skincare</v>
      </c>
      <c r="C173">
        <f t="shared" si="16"/>
        <v>4971.1459875855498</v>
      </c>
      <c r="D173" s="1">
        <f t="shared" si="18"/>
        <v>0.82248870627005943</v>
      </c>
      <c r="E173" t="str">
        <f t="shared" si="17"/>
        <v>B</v>
      </c>
    </row>
    <row r="174" spans="1:5">
      <c r="A174" t="str">
        <f t="shared" si="14"/>
        <v>SKU56</v>
      </c>
      <c r="B174" t="str">
        <f t="shared" si="15"/>
        <v>skincare</v>
      </c>
      <c r="C174">
        <f t="shared" si="16"/>
        <v>4767.0204843441297</v>
      </c>
      <c r="D174" s="1">
        <f t="shared" si="18"/>
        <v>0.83074178922521802</v>
      </c>
      <c r="E174" t="str">
        <f t="shared" si="17"/>
        <v>B</v>
      </c>
    </row>
    <row r="175" spans="1:5">
      <c r="A175" t="str">
        <f t="shared" si="14"/>
        <v>SKU93</v>
      </c>
      <c r="B175" t="str">
        <f t="shared" si="15"/>
        <v>haircare</v>
      </c>
      <c r="C175">
        <f t="shared" si="16"/>
        <v>4531.4021336919004</v>
      </c>
      <c r="D175" s="1">
        <f t="shared" si="18"/>
        <v>0.83858694907619091</v>
      </c>
      <c r="E175" t="str">
        <f t="shared" si="17"/>
        <v>B</v>
      </c>
    </row>
    <row r="176" spans="1:5">
      <c r="A176" t="str">
        <f t="shared" si="14"/>
        <v>SKU81</v>
      </c>
      <c r="B176" t="str">
        <f t="shared" si="15"/>
        <v>haircare</v>
      </c>
      <c r="C176">
        <f t="shared" si="16"/>
        <v>4384.4134000458598</v>
      </c>
      <c r="D176" s="1">
        <f t="shared" si="18"/>
        <v>0.84617762917062855</v>
      </c>
      <c r="E176" t="str">
        <f t="shared" si="17"/>
        <v>B</v>
      </c>
    </row>
    <row r="177" spans="1:5">
      <c r="A177" t="str">
        <f t="shared" ref="A177:A211" si="19">INDEX($B$2:$B$101,MATCH(LARGE($F$2:$F$101,ROW()-111),$F$2:$F$101,0))</f>
        <v>SKU97</v>
      </c>
      <c r="B177" t="str">
        <f t="shared" ref="B177:B211" si="20">INDEX($A$2:$A$101,MATCH(LARGE($F$2:$F$101,ROW()-111),$F$2:$F$101,0))</f>
        <v>haircare</v>
      </c>
      <c r="C177">
        <f t="shared" ref="C177:C211" si="21">LARGE($F$2:$F$101,ROW()-111)</f>
        <v>4370.9165799845296</v>
      </c>
      <c r="D177" s="1">
        <f t="shared" si="18"/>
        <v>0.85374494238926546</v>
      </c>
      <c r="E177" t="str">
        <f t="shared" ref="E177:E211" si="22">IF(D177&lt;=0.7,"A",IF(D177&lt;=0.9,"B","C"))</f>
        <v>B</v>
      </c>
    </row>
    <row r="178" spans="1:5">
      <c r="A178" t="str">
        <f t="shared" si="19"/>
        <v>SKU63</v>
      </c>
      <c r="B178" t="str">
        <f t="shared" si="20"/>
        <v>skincare</v>
      </c>
      <c r="C178">
        <f t="shared" si="21"/>
        <v>4256.9491408502199</v>
      </c>
      <c r="D178" s="1">
        <f t="shared" ref="D178:D211" si="23">D177+C178/$B$109</f>
        <v>0.86111494520563925</v>
      </c>
      <c r="E178" t="str">
        <f t="shared" si="22"/>
        <v>B</v>
      </c>
    </row>
    <row r="179" spans="1:5">
      <c r="A179" t="str">
        <f t="shared" si="19"/>
        <v>SKU13</v>
      </c>
      <c r="B179" t="str">
        <f t="shared" si="20"/>
        <v>skincare</v>
      </c>
      <c r="C179">
        <f t="shared" si="21"/>
        <v>4052.7384162378598</v>
      </c>
      <c r="D179" s="1">
        <f t="shared" si="23"/>
        <v>0.86813140054805238</v>
      </c>
      <c r="E179" t="str">
        <f t="shared" si="22"/>
        <v>B</v>
      </c>
    </row>
    <row r="180" spans="1:5">
      <c r="A180" t="str">
        <f t="shared" si="19"/>
        <v>SKU62</v>
      </c>
      <c r="B180" t="str">
        <f t="shared" si="20"/>
        <v>cosmetics</v>
      </c>
      <c r="C180">
        <f t="shared" si="21"/>
        <v>3899.7468337292198</v>
      </c>
      <c r="D180" s="1">
        <f t="shared" si="23"/>
        <v>0.8748829834767573</v>
      </c>
      <c r="E180" t="str">
        <f t="shared" si="22"/>
        <v>B</v>
      </c>
    </row>
    <row r="181" spans="1:5">
      <c r="A181" t="str">
        <f t="shared" si="19"/>
        <v>SKU26</v>
      </c>
      <c r="B181" t="str">
        <f t="shared" si="20"/>
        <v>haircare</v>
      </c>
      <c r="C181">
        <f t="shared" si="21"/>
        <v>3716.49332589403</v>
      </c>
      <c r="D181" s="1">
        <f t="shared" si="23"/>
        <v>0.88131730189884749</v>
      </c>
      <c r="E181" t="str">
        <f t="shared" si="22"/>
        <v>B</v>
      </c>
    </row>
    <row r="182" spans="1:5">
      <c r="A182" t="str">
        <f t="shared" si="19"/>
        <v>SKU68</v>
      </c>
      <c r="B182" t="str">
        <f t="shared" si="20"/>
        <v>haircare</v>
      </c>
      <c r="C182">
        <f t="shared" si="21"/>
        <v>3550.21843278099</v>
      </c>
      <c r="D182" s="1">
        <f t="shared" si="23"/>
        <v>0.88746375067768168</v>
      </c>
      <c r="E182" t="str">
        <f t="shared" si="22"/>
        <v>B</v>
      </c>
    </row>
    <row r="183" spans="1:5">
      <c r="A183" t="str">
        <f t="shared" si="19"/>
        <v>SKU82</v>
      </c>
      <c r="B183" t="str">
        <f t="shared" si="20"/>
        <v>skincare</v>
      </c>
      <c r="C183">
        <f t="shared" si="21"/>
        <v>2943.3818676094502</v>
      </c>
      <c r="D183" s="1">
        <f t="shared" si="23"/>
        <v>0.89255959089944503</v>
      </c>
      <c r="E183" t="str">
        <f t="shared" si="22"/>
        <v>B</v>
      </c>
    </row>
    <row r="184" spans="1:5">
      <c r="A184" t="str">
        <f t="shared" si="19"/>
        <v>SKU55</v>
      </c>
      <c r="B184" t="str">
        <f t="shared" si="20"/>
        <v>haircare</v>
      </c>
      <c r="C184">
        <f t="shared" si="21"/>
        <v>2925.6751703038099</v>
      </c>
      <c r="D184" s="1">
        <f t="shared" si="23"/>
        <v>0.89762477573757715</v>
      </c>
      <c r="E184" t="str">
        <f t="shared" si="22"/>
        <v>B</v>
      </c>
    </row>
    <row r="185" spans="1:5">
      <c r="A185" t="str">
        <f t="shared" si="19"/>
        <v>SKU12</v>
      </c>
      <c r="B185" t="str">
        <f t="shared" si="20"/>
        <v>haircare</v>
      </c>
      <c r="C185">
        <f t="shared" si="21"/>
        <v>2873.74144602144</v>
      </c>
      <c r="D185" s="1">
        <f t="shared" si="23"/>
        <v>0.90260004836826646</v>
      </c>
      <c r="E185" t="str">
        <f t="shared" si="22"/>
        <v>C</v>
      </c>
    </row>
    <row r="186" spans="1:5">
      <c r="A186" t="str">
        <f t="shared" si="19"/>
        <v>SKU5</v>
      </c>
      <c r="B186" t="str">
        <f t="shared" si="20"/>
        <v>haircare</v>
      </c>
      <c r="C186">
        <f t="shared" si="21"/>
        <v>2828.3487459757498</v>
      </c>
      <c r="D186" s="1">
        <f t="shared" si="23"/>
        <v>0.90749673318498136</v>
      </c>
      <c r="E186" t="str">
        <f t="shared" si="22"/>
        <v>C</v>
      </c>
    </row>
    <row r="187" spans="1:5">
      <c r="A187" t="str">
        <f t="shared" si="19"/>
        <v>SKU30</v>
      </c>
      <c r="B187" t="str">
        <f t="shared" si="20"/>
        <v>haircare</v>
      </c>
      <c r="C187">
        <f t="shared" si="21"/>
        <v>2766.3423668660798</v>
      </c>
      <c r="D187" s="1">
        <f t="shared" si="23"/>
        <v>0.91228606713290472</v>
      </c>
      <c r="E187" t="str">
        <f t="shared" si="22"/>
        <v>C</v>
      </c>
    </row>
    <row r="188" spans="1:5">
      <c r="A188" t="str">
        <f t="shared" si="19"/>
        <v>SKU4</v>
      </c>
      <c r="B188" t="str">
        <f t="shared" si="20"/>
        <v>skincare</v>
      </c>
      <c r="C188">
        <f t="shared" si="21"/>
        <v>2686.50515156744</v>
      </c>
      <c r="D188" s="1">
        <f t="shared" si="23"/>
        <v>0.91693717990830903</v>
      </c>
      <c r="E188" t="str">
        <f t="shared" si="22"/>
        <v>C</v>
      </c>
    </row>
    <row r="189" spans="1:5">
      <c r="A189" t="str">
        <f t="shared" si="19"/>
        <v>SKU27</v>
      </c>
      <c r="B189" t="str">
        <f t="shared" si="20"/>
        <v>cosmetics</v>
      </c>
      <c r="C189">
        <f t="shared" si="21"/>
        <v>2686.4572235759802</v>
      </c>
      <c r="D189" s="1">
        <f t="shared" si="23"/>
        <v>0.92158820970658106</v>
      </c>
      <c r="E189" t="str">
        <f t="shared" si="22"/>
        <v>C</v>
      </c>
    </row>
    <row r="190" spans="1:5">
      <c r="A190" t="str">
        <f t="shared" si="19"/>
        <v>SKU72</v>
      </c>
      <c r="B190" t="str">
        <f t="shared" si="20"/>
        <v>cosmetics</v>
      </c>
      <c r="C190">
        <f t="shared" si="21"/>
        <v>2633.1219813122498</v>
      </c>
      <c r="D190" s="1">
        <f t="shared" si="23"/>
        <v>0.92614690086685447</v>
      </c>
      <c r="E190" t="str">
        <f t="shared" si="22"/>
        <v>C</v>
      </c>
    </row>
    <row r="191" spans="1:5">
      <c r="A191" t="str">
        <f t="shared" si="19"/>
        <v>SKU17</v>
      </c>
      <c r="B191" t="str">
        <f t="shared" si="20"/>
        <v>cosmetics</v>
      </c>
      <c r="C191">
        <f t="shared" si="21"/>
        <v>2629.39643484526</v>
      </c>
      <c r="D191" s="1">
        <f t="shared" si="23"/>
        <v>0.93069914203511572</v>
      </c>
      <c r="E191" t="str">
        <f t="shared" si="22"/>
        <v>C</v>
      </c>
    </row>
    <row r="192" spans="1:5">
      <c r="A192" t="str">
        <f t="shared" si="19"/>
        <v>SKU46</v>
      </c>
      <c r="B192" t="str">
        <f t="shared" si="20"/>
        <v>haircare</v>
      </c>
      <c r="C192">
        <f t="shared" si="21"/>
        <v>2556.7673606335902</v>
      </c>
      <c r="D192" s="1">
        <f t="shared" si="23"/>
        <v>0.93512564139538734</v>
      </c>
      <c r="E192" t="str">
        <f t="shared" si="22"/>
        <v>C</v>
      </c>
    </row>
    <row r="193" spans="1:5">
      <c r="A193" t="str">
        <f t="shared" si="19"/>
        <v>SKU19</v>
      </c>
      <c r="B193" t="str">
        <f t="shared" si="20"/>
        <v>skincare</v>
      </c>
      <c r="C193">
        <f t="shared" si="21"/>
        <v>2553.4955849912099</v>
      </c>
      <c r="D193" s="1">
        <f t="shared" si="23"/>
        <v>0.93954647637140132</v>
      </c>
      <c r="E193" t="str">
        <f t="shared" si="22"/>
        <v>C</v>
      </c>
    </row>
    <row r="194" spans="1:5">
      <c r="A194" t="str">
        <f t="shared" si="19"/>
        <v>SKU77</v>
      </c>
      <c r="B194" t="str">
        <f t="shared" si="20"/>
        <v>haircare</v>
      </c>
      <c r="C194">
        <f t="shared" si="21"/>
        <v>2483.7601775427902</v>
      </c>
      <c r="D194" s="1">
        <f t="shared" si="23"/>
        <v>0.9438465793085089</v>
      </c>
      <c r="E194" t="str">
        <f t="shared" si="22"/>
        <v>C</v>
      </c>
    </row>
    <row r="195" spans="1:5">
      <c r="A195" t="str">
        <f t="shared" si="19"/>
        <v>SKU37</v>
      </c>
      <c r="B195" t="str">
        <f t="shared" si="20"/>
        <v>skincare</v>
      </c>
      <c r="C195">
        <f t="shared" si="21"/>
        <v>2438.3399304700201</v>
      </c>
      <c r="D195" s="1">
        <f t="shared" si="23"/>
        <v>0.94806804673981859</v>
      </c>
      <c r="E195" t="str">
        <f t="shared" si="22"/>
        <v>C</v>
      </c>
    </row>
    <row r="196" spans="1:5">
      <c r="A196" t="str">
        <f t="shared" si="19"/>
        <v>SKU83</v>
      </c>
      <c r="B196" t="str">
        <f t="shared" si="20"/>
        <v>haircare</v>
      </c>
      <c r="C196">
        <f t="shared" si="21"/>
        <v>2411.7546321104901</v>
      </c>
      <c r="D196" s="1">
        <f t="shared" si="23"/>
        <v>0.95224348737651521</v>
      </c>
      <c r="E196" t="str">
        <f t="shared" si="22"/>
        <v>C</v>
      </c>
    </row>
    <row r="197" spans="1:5">
      <c r="A197" t="str">
        <f t="shared" si="19"/>
        <v>SKU22</v>
      </c>
      <c r="B197" t="str">
        <f t="shared" si="20"/>
        <v>haircare</v>
      </c>
      <c r="C197">
        <f t="shared" si="21"/>
        <v>2390.8078665561702</v>
      </c>
      <c r="D197" s="1">
        <f t="shared" si="23"/>
        <v>0.95638266313993725</v>
      </c>
      <c r="E197" t="str">
        <f t="shared" si="22"/>
        <v>C</v>
      </c>
    </row>
    <row r="198" spans="1:5">
      <c r="A198" t="str">
        <f t="shared" si="19"/>
        <v>SKU10</v>
      </c>
      <c r="B198" t="str">
        <f t="shared" si="20"/>
        <v>skincare</v>
      </c>
      <c r="C198">
        <f t="shared" si="21"/>
        <v>2330.9658020919401</v>
      </c>
      <c r="D198" s="1">
        <f t="shared" si="23"/>
        <v>0.96041823508544977</v>
      </c>
      <c r="E198" t="str">
        <f t="shared" si="22"/>
        <v>C</v>
      </c>
    </row>
    <row r="199" spans="1:5">
      <c r="A199" t="str">
        <f t="shared" si="19"/>
        <v>SKU25</v>
      </c>
      <c r="B199" t="str">
        <f t="shared" si="20"/>
        <v>haircare</v>
      </c>
      <c r="C199">
        <f t="shared" si="21"/>
        <v>2174.7770543506499</v>
      </c>
      <c r="D199" s="1">
        <f t="shared" si="23"/>
        <v>0.96418339940506581</v>
      </c>
      <c r="E199" t="str">
        <f t="shared" si="22"/>
        <v>C</v>
      </c>
    </row>
    <row r="200" spans="1:5">
      <c r="A200" t="str">
        <f t="shared" si="19"/>
        <v>SKU92</v>
      </c>
      <c r="B200" t="str">
        <f t="shared" si="20"/>
        <v>cosmetics</v>
      </c>
      <c r="C200">
        <f t="shared" si="21"/>
        <v>2100.1297546259302</v>
      </c>
      <c r="D200" s="1">
        <f t="shared" si="23"/>
        <v>0.96781932778809843</v>
      </c>
      <c r="E200" t="str">
        <f t="shared" si="22"/>
        <v>C</v>
      </c>
    </row>
    <row r="201" spans="1:5">
      <c r="A201" t="str">
        <f t="shared" si="19"/>
        <v>SKU84</v>
      </c>
      <c r="B201" t="str">
        <f t="shared" si="20"/>
        <v>haircare</v>
      </c>
      <c r="C201">
        <f t="shared" si="21"/>
        <v>2048.2900998487098</v>
      </c>
      <c r="D201" s="1">
        <f t="shared" si="23"/>
        <v>0.97136550682504619</v>
      </c>
      <c r="E201" t="str">
        <f t="shared" si="22"/>
        <v>C</v>
      </c>
    </row>
    <row r="202" spans="1:5">
      <c r="A202" t="str">
        <f t="shared" si="19"/>
        <v>SKU58</v>
      </c>
      <c r="B202" t="str">
        <f t="shared" si="20"/>
        <v>skincare</v>
      </c>
      <c r="C202">
        <f t="shared" si="21"/>
        <v>2021.1498103371</v>
      </c>
      <c r="D202" s="1">
        <f t="shared" si="23"/>
        <v>0.97486469821813926</v>
      </c>
      <c r="E202" t="str">
        <f t="shared" si="22"/>
        <v>C</v>
      </c>
    </row>
    <row r="203" spans="1:5">
      <c r="A203" t="str">
        <f t="shared" si="19"/>
        <v>SKU91</v>
      </c>
      <c r="B203" t="str">
        <f t="shared" si="20"/>
        <v>cosmetics</v>
      </c>
      <c r="C203">
        <f t="shared" si="21"/>
        <v>1935.20679350759</v>
      </c>
      <c r="D203" s="1">
        <f t="shared" si="23"/>
        <v>0.97821509754087299</v>
      </c>
      <c r="E203" t="str">
        <f t="shared" si="22"/>
        <v>C</v>
      </c>
    </row>
    <row r="204" spans="1:5">
      <c r="A204" t="str">
        <f t="shared" si="19"/>
        <v>SKU39</v>
      </c>
      <c r="B204" t="str">
        <f t="shared" si="20"/>
        <v>skincare</v>
      </c>
      <c r="C204">
        <f t="shared" si="21"/>
        <v>1912.4656631007599</v>
      </c>
      <c r="D204" s="1">
        <f t="shared" si="23"/>
        <v>0.98152612542890072</v>
      </c>
      <c r="E204" t="str">
        <f t="shared" si="22"/>
        <v>C</v>
      </c>
    </row>
    <row r="205" spans="1:5">
      <c r="A205" t="str">
        <f t="shared" si="19"/>
        <v>SKU75</v>
      </c>
      <c r="B205" t="str">
        <f t="shared" si="20"/>
        <v>skincare</v>
      </c>
      <c r="C205">
        <f t="shared" si="21"/>
        <v>1889.07358977933</v>
      </c>
      <c r="D205" s="1">
        <f t="shared" si="23"/>
        <v>0.98479665491289414</v>
      </c>
      <c r="E205" t="str">
        <f t="shared" si="22"/>
        <v>C</v>
      </c>
    </row>
    <row r="206" spans="1:5">
      <c r="A206" t="str">
        <f t="shared" si="19"/>
        <v>SKU42</v>
      </c>
      <c r="B206" t="str">
        <f t="shared" si="20"/>
        <v>skincare</v>
      </c>
      <c r="C206">
        <f t="shared" si="21"/>
        <v>1839.60942585676</v>
      </c>
      <c r="D206" s="1">
        <f t="shared" si="23"/>
        <v>0.98798154770841495</v>
      </c>
      <c r="E206" t="str">
        <f t="shared" si="22"/>
        <v>C</v>
      </c>
    </row>
    <row r="207" spans="1:5">
      <c r="A207" t="str">
        <f t="shared" si="19"/>
        <v>SKU69</v>
      </c>
      <c r="B207" t="str">
        <f t="shared" si="20"/>
        <v>skincare</v>
      </c>
      <c r="C207">
        <f t="shared" si="21"/>
        <v>1752.3810874841199</v>
      </c>
      <c r="D207" s="1">
        <f t="shared" si="23"/>
        <v>0.99101542317246116</v>
      </c>
      <c r="E207" t="str">
        <f t="shared" si="22"/>
        <v>C</v>
      </c>
    </row>
    <row r="208" spans="1:5">
      <c r="A208" t="str">
        <f t="shared" si="19"/>
        <v>SKU57</v>
      </c>
      <c r="B208" t="str">
        <f t="shared" si="20"/>
        <v>haircare</v>
      </c>
      <c r="C208">
        <f t="shared" si="21"/>
        <v>1605.8669003924001</v>
      </c>
      <c r="D208" s="1">
        <f t="shared" si="23"/>
        <v>0.99379564045648761</v>
      </c>
      <c r="E208" t="str">
        <f t="shared" si="22"/>
        <v>C</v>
      </c>
    </row>
    <row r="209" spans="1:5">
      <c r="A209" t="str">
        <f t="shared" si="19"/>
        <v>SKU78</v>
      </c>
      <c r="B209" t="str">
        <f t="shared" si="20"/>
        <v>haircare</v>
      </c>
      <c r="C209">
        <f t="shared" si="21"/>
        <v>1292.45841793775</v>
      </c>
      <c r="D209" s="1">
        <f t="shared" si="23"/>
        <v>0.99603325755386851</v>
      </c>
      <c r="E209" t="str">
        <f t="shared" si="22"/>
        <v>C</v>
      </c>
    </row>
    <row r="210" spans="1:5">
      <c r="A210" t="str">
        <f t="shared" si="19"/>
        <v>SKU86</v>
      </c>
      <c r="B210" t="str">
        <f t="shared" si="20"/>
        <v>skincare</v>
      </c>
      <c r="C210">
        <f t="shared" si="21"/>
        <v>1229.59102856498</v>
      </c>
      <c r="D210" s="1">
        <f t="shared" si="23"/>
        <v>0.99816203312615592</v>
      </c>
      <c r="E210" t="str">
        <f t="shared" si="22"/>
        <v>C</v>
      </c>
    </row>
    <row r="211" spans="1:5">
      <c r="A211" t="str">
        <f t="shared" si="19"/>
        <v>SKU59</v>
      </c>
      <c r="B211" t="str">
        <f t="shared" si="20"/>
        <v>cosmetics</v>
      </c>
      <c r="C211">
        <f t="shared" si="21"/>
        <v>1061.6185230132801</v>
      </c>
      <c r="D211" s="1">
        <f t="shared" si="23"/>
        <v>1.0000000000000002</v>
      </c>
      <c r="E211" t="str">
        <f t="shared" si="22"/>
        <v>C</v>
      </c>
    </row>
    <row r="212" spans="1:5">
      <c r="D212" s="1"/>
    </row>
    <row r="213" spans="1:5">
      <c r="C213" s="1"/>
    </row>
    <row r="214" spans="1:5">
      <c r="C214" s="1"/>
    </row>
    <row r="215" spans="1:5">
      <c r="C215" s="1"/>
    </row>
    <row r="216" spans="1:5">
      <c r="D216" s="1"/>
    </row>
    <row r="217" spans="1:5">
      <c r="D217" s="1"/>
    </row>
    <row r="218" spans="1:5">
      <c r="A218" s="3" t="s">
        <v>173</v>
      </c>
      <c r="B218" t="s">
        <v>174</v>
      </c>
      <c r="C218" t="s">
        <v>175</v>
      </c>
      <c r="D218" s="1" t="s">
        <v>176</v>
      </c>
    </row>
    <row r="219" spans="1:5">
      <c r="A219" t="s">
        <v>177</v>
      </c>
      <c r="B219">
        <f>COUNTIF($L$2:$L$101,"Carrier A")</f>
        <v>28</v>
      </c>
      <c r="C219">
        <f>COUNTIFS($L$2:$L$101,"Carrier A",$Y$2:$Y$101,"On Time")</f>
        <v>17</v>
      </c>
      <c r="D219" s="4">
        <f>C219/B219*100</f>
        <v>60.714285714285708</v>
      </c>
    </row>
    <row r="220" spans="1:5">
      <c r="A220" t="s">
        <v>178</v>
      </c>
      <c r="B220">
        <f>COUNTIF($L$2:$L$101,"Carrier B")</f>
        <v>43</v>
      </c>
      <c r="C220">
        <f>COUNTIFS($L$2:$L$101,"Carrier B",$Y$2:$Y$101,"On Time")</f>
        <v>33</v>
      </c>
      <c r="D220" s="4">
        <f t="shared" ref="D220:D221" si="24">C220/B220*100</f>
        <v>76.744186046511629</v>
      </c>
    </row>
    <row r="221" spans="1:5">
      <c r="A221" t="s">
        <v>179</v>
      </c>
      <c r="B221">
        <f>COUNTIF($L$2:$L$101,"Carrier C")</f>
        <v>29</v>
      </c>
      <c r="C221">
        <f>COUNTIFS($L$2:$L$101,"Carrier C",$Y$2:$Y$101,"On Time")</f>
        <v>17</v>
      </c>
      <c r="D221" s="4">
        <f t="shared" si="24"/>
        <v>58.620689655172406</v>
      </c>
    </row>
    <row r="224" spans="1:5">
      <c r="A224" t="s">
        <v>180</v>
      </c>
      <c r="B224" t="s">
        <v>181</v>
      </c>
      <c r="C224" t="s">
        <v>182</v>
      </c>
      <c r="D224" t="s">
        <v>183</v>
      </c>
      <c r="E224" t="s">
        <v>184</v>
      </c>
    </row>
    <row r="225" spans="1:5">
      <c r="A225">
        <v>1</v>
      </c>
      <c r="B225">
        <f>AVERAGEIF($N$2:$N$101,"Supplier 1",$U$2:$U$101)</f>
        <v>1.8036297116882485</v>
      </c>
      <c r="C225">
        <f>AVERAGEIF($N$2:$N$101,"Supplier 1",$I$2:$I$101)</f>
        <v>16.777777777777779</v>
      </c>
      <c r="D225">
        <f>AVERAGEIF($N$2:$N$101,"Supplier 1",$M$2:$M$101)</f>
        <v>5.5123018285508447</v>
      </c>
      <c r="E225">
        <f>10-ROUND(B225*2,0)</f>
        <v>6</v>
      </c>
    </row>
    <row r="226" spans="1:5">
      <c r="A226">
        <v>2</v>
      </c>
      <c r="B226">
        <f>AVERAGEIF($N$2:$N$101,"Supplier 2",$U$2:$U$101)</f>
        <v>2.3627501450718764</v>
      </c>
      <c r="C226">
        <f>AVERAGEIF($N$2:$N$101,"Supplier 2",$I$2:$I$101)</f>
        <v>16.227272727272727</v>
      </c>
      <c r="D226">
        <f>AVERAGEIF($N$2:$N$101,"Supplier 2",$M$2:$M$101)</f>
        <v>5.7391780614618826</v>
      </c>
      <c r="E226">
        <f t="shared" ref="E226:E229" si="25">10-ROUND(B226*2,0)</f>
        <v>5</v>
      </c>
    </row>
    <row r="227" spans="1:5">
      <c r="A227">
        <v>3</v>
      </c>
      <c r="B227">
        <f>AVERAGEIF($N$2:$N$101,"Supplier 3",$U$2:$U$101)</f>
        <v>2.4657860307644657</v>
      </c>
      <c r="C227">
        <f>AVERAGEIF($N$2:$N$101,"Supplier 3",$I$2:$I$101)</f>
        <v>14.333333333333334</v>
      </c>
      <c r="D227">
        <f>AVERAGEIF($N$2:$N$101,"Supplier 3",$M$2:$M$101)</f>
        <v>4.7887706252194722</v>
      </c>
      <c r="E227">
        <f t="shared" si="25"/>
        <v>5</v>
      </c>
    </row>
    <row r="228" spans="1:5">
      <c r="A228">
        <v>4</v>
      </c>
      <c r="B228">
        <f>AVERAGEIF($N$2:$N$101,"Supplier 4",$U$2:$U$101)</f>
        <v>2.3373974005913354</v>
      </c>
      <c r="C228">
        <f>AVERAGEIF($N$2:$N$101,"Supplier 4",$I$2:$I$101)</f>
        <v>17</v>
      </c>
      <c r="D228">
        <f>AVERAGEIF($N$2:$N$101,"Supplier 4",$M$2:$M$101)</f>
        <v>5.7595729745619417</v>
      </c>
      <c r="E228">
        <f>10-ROUND(B228*2,0)</f>
        <v>5</v>
      </c>
    </row>
    <row r="229" spans="1:5">
      <c r="A229">
        <v>5</v>
      </c>
      <c r="B229">
        <f>AVERAGEIF($N$2:$N$101,"Supplier 5",$U$2:$U$101)</f>
        <v>2.6654083441491982</v>
      </c>
      <c r="C229">
        <f>AVERAGEIF($N$2:$N$101,"Supplier 5",$I$2:$I$101)</f>
        <v>14.722222222222221</v>
      </c>
      <c r="D229">
        <f>AVERAGEIF($N$2:$N$101,"Supplier 5",$M$2:$M$101)</f>
        <v>5.7898315310287227</v>
      </c>
      <c r="E229">
        <f t="shared" si="25"/>
        <v>5</v>
      </c>
    </row>
  </sheetData>
  <dataValidations count="1">
    <dataValidation type="list" allowBlank="1" showInputMessage="1" showErrorMessage="1" sqref="A1:A101" xr:uid="{02401754-EB87-46B0-9A10-3C8B5269A034}">
      <formula1>"haircare,skincare,cosmetics"</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8D014-4295-4300-B676-76CBD34115A5}">
  <dimension ref="A1:R7"/>
  <sheetViews>
    <sheetView zoomScale="70" workbookViewId="0">
      <selection activeCell="B24" sqref="B24"/>
    </sheetView>
  </sheetViews>
  <sheetFormatPr defaultRowHeight="14.4"/>
  <cols>
    <col min="1" max="1" width="13.88671875" bestFit="1" customWidth="1"/>
    <col min="2" max="2" width="25.21875" bestFit="1" customWidth="1"/>
    <col min="9" max="9" width="13.88671875" bestFit="1" customWidth="1"/>
    <col min="10" max="10" width="24.109375" bestFit="1" customWidth="1"/>
    <col min="17" max="17" width="17.6640625" bestFit="1" customWidth="1"/>
    <col min="18" max="18" width="27.88671875" bestFit="1" customWidth="1"/>
  </cols>
  <sheetData>
    <row r="1" spans="1:18">
      <c r="A1" s="5" t="s">
        <v>185</v>
      </c>
      <c r="B1" t="s">
        <v>187</v>
      </c>
      <c r="I1" s="5" t="s">
        <v>185</v>
      </c>
      <c r="J1" t="s">
        <v>188</v>
      </c>
      <c r="Q1" s="5" t="s">
        <v>185</v>
      </c>
      <c r="R1" t="s">
        <v>189</v>
      </c>
    </row>
    <row r="2" spans="1:18">
      <c r="A2" s="6" t="s">
        <v>57</v>
      </c>
      <c r="B2" s="1">
        <v>161521.26599948306</v>
      </c>
      <c r="I2" s="6" t="s">
        <v>36</v>
      </c>
      <c r="J2">
        <v>6.1428571428571432</v>
      </c>
      <c r="Q2" s="6" t="s">
        <v>39</v>
      </c>
      <c r="R2">
        <v>1.8036297116882485</v>
      </c>
    </row>
    <row r="3" spans="1:18">
      <c r="A3" s="6" t="s">
        <v>24</v>
      </c>
      <c r="B3" s="1">
        <v>174455.39060546222</v>
      </c>
      <c r="I3" s="6" t="s">
        <v>27</v>
      </c>
      <c r="J3">
        <v>5.3023255813953485</v>
      </c>
      <c r="Q3" s="6" t="s">
        <v>61</v>
      </c>
      <c r="R3">
        <v>2.3627501450718764</v>
      </c>
    </row>
    <row r="4" spans="1:18">
      <c r="A4" s="6" t="s">
        <v>33</v>
      </c>
      <c r="B4" s="1">
        <v>241628.16213306302</v>
      </c>
      <c r="I4" s="6" t="s">
        <v>43</v>
      </c>
      <c r="J4">
        <v>6.0344827586206895</v>
      </c>
      <c r="Q4" s="6" t="s">
        <v>28</v>
      </c>
      <c r="R4">
        <v>2.4657860307644657</v>
      </c>
    </row>
    <row r="5" spans="1:18">
      <c r="A5" s="6" t="s">
        <v>186</v>
      </c>
      <c r="B5" s="1">
        <v>577604.81873800838</v>
      </c>
      <c r="I5" s="6" t="s">
        <v>186</v>
      </c>
      <c r="J5">
        <v>5.75</v>
      </c>
      <c r="Q5" s="6" t="s">
        <v>52</v>
      </c>
      <c r="R5">
        <v>2.3373974005913354</v>
      </c>
    </row>
    <row r="6" spans="1:18">
      <c r="Q6" s="6" t="s">
        <v>44</v>
      </c>
      <c r="R6">
        <v>2.6654083441491982</v>
      </c>
    </row>
    <row r="7" spans="1:18">
      <c r="Q7" s="6" t="s">
        <v>186</v>
      </c>
      <c r="R7">
        <v>2.2771579927396055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6CAD1-00BF-420B-85FA-3F9115CCC2FE}">
  <dimension ref="A1"/>
  <sheetViews>
    <sheetView zoomScale="54" workbookViewId="0">
      <selection activeCell="K21" sqref="K21"/>
    </sheetView>
  </sheetViews>
  <sheetFormatPr defaultRowHeight="14.4"/>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A9BA67A-2DF0-4895-B12D-ACCAF498935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clean data</vt:lpstr>
      <vt:lpstr>lookup tables</vt:lpstr>
      <vt:lpstr>analysis</vt:lpstr>
      <vt:lpstr>pivot summary</vt:lpstr>
      <vt:lpstr>KPI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Jagajeeth</dc:creator>
  <cp:lastModifiedBy>Jagajeeth SM</cp:lastModifiedBy>
  <dcterms:created xsi:type="dcterms:W3CDTF">2026-03-22T04:20:27Z</dcterms:created>
  <dcterms:modified xsi:type="dcterms:W3CDTF">2026-03-23T07:10:27Z</dcterms:modified>
</cp:coreProperties>
</file>